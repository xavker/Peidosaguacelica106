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avie\AndroidStudioProjects\Peidosaguacelica106\"/>
    </mc:Choice>
  </mc:AlternateContent>
  <xr:revisionPtr revIDLastSave="0" documentId="13_ncr:1_{20761329-C8BA-4EB5-BEA2-A8EF32AF6343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  <workbookView visibility="hidden" xWindow="-108" yWindow="-108" windowWidth="23256" windowHeight="12576" activeTab="1" xr2:uid="{00000000-000D-0000-FFFF-FFFF01000000}"/>
  </bookViews>
  <sheets>
    <sheet name="contacts (2)" sheetId="7" r:id="rId1"/>
    <sheet name="Contactos Agua Celica" sheetId="3" r:id="rId2"/>
    <sheet name="Hoja de importacion" sheetId="4" r:id="rId3"/>
    <sheet name="Barrios" sheetId="5" r:id="rId4"/>
  </sheets>
  <definedNames>
    <definedName name="contacts_1" localSheetId="1">'Contactos Agua Celica'!$A$3:$B$276</definedName>
    <definedName name="DatosExternos_1" localSheetId="0" hidden="1">'contacts (2)'!$A$1:$J$442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5" i="3" l="1"/>
  <c r="D235" i="3" s="1"/>
  <c r="C437" i="3"/>
  <c r="B1" i="4"/>
  <c r="J2" i="3"/>
  <c r="G2" i="3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2" i="4"/>
  <c r="F379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E2" i="4"/>
  <c r="D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2" i="4"/>
  <c r="C1" i="4"/>
  <c r="C245" i="3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244" i="3"/>
  <c r="D244" i="3" s="1"/>
  <c r="C5" i="3"/>
  <c r="C6" i="3"/>
  <c r="D6" i="3" s="1"/>
  <c r="C7" i="3"/>
  <c r="D7" i="3" s="1"/>
  <c r="C8" i="3"/>
  <c r="D8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2" i="3"/>
  <c r="D122" i="3" s="1"/>
  <c r="C123" i="3"/>
  <c r="D123" i="3" s="1"/>
  <c r="C124" i="3"/>
  <c r="D124" i="3" s="1"/>
  <c r="C125" i="3"/>
  <c r="D125" i="3" s="1"/>
  <c r="C126" i="3"/>
  <c r="D126" i="3" s="1"/>
  <c r="C128" i="3"/>
  <c r="D128" i="3" s="1"/>
  <c r="C129" i="3"/>
  <c r="D129" i="3" s="1"/>
  <c r="C130" i="3"/>
  <c r="D130" i="3" s="1"/>
  <c r="C131" i="3"/>
  <c r="D131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1" i="3"/>
  <c r="D221" i="3" s="1"/>
  <c r="C222" i="3"/>
  <c r="D222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4" i="3"/>
  <c r="B2" i="3"/>
  <c r="K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Xavier Ramón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EXPORTE LOS CONTACTOS DE GOOGGLE CONTAC DE AGUACELICA@GMAIL.COM, EL ARCHIVO .CSV IMPORTELO EN EXCEL ELIMENE TODAS LAS COLUMN EXCEPTO NOMBRE Y </t>
        </r>
      </text>
    </comment>
    <comment ref="F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AGREGUE LA UBICACIÓN EN GOOGLE MAPS
</t>
        </r>
      </text>
    </comment>
    <comment ref="A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Pegue Aquí la nueva tabla
</t>
        </r>
      </text>
    </comment>
    <comment ref="D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Xavier Ramón:
Una vez agregada la nueva table presiona aquí para añadirla a la table general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Agregar fecha Manualmente una vez  se hayan actualizado los contactos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Xavier Ramón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Xavier Ramón:</t>
        </r>
        <r>
          <rPr>
            <sz val="9"/>
            <color indexed="81"/>
            <rFont val="Tahoma"/>
            <family val="2"/>
          </rPr>
          <t xml:space="preserve">
Expportar en .csv e importar en  Firebase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tacts (1)" description="Conexión a la consulta 'contacts (1)' en el libro." type="5" refreshedVersion="7" background="1" saveData="1">
    <dbPr connection="Provider=Microsoft.Mashup.OleDb.1;Data Source=$Workbook$;Location=&quot;contacts (1)&quot;;Extended Properties=&quot;&quot;" command="SELECT * FROM [contacts (1)]"/>
  </connection>
  <connection id="2" xr16:uid="{788BE274-D824-4014-8A9E-91C36842CB72}" keepAlive="1" name="Consulta - contacts (2)" description="Conexión a la consulta 'contacts (2)' en el libro." type="5" refreshedVersion="8" background="1" saveData="1">
    <dbPr connection="Provider=Microsoft.Mashup.OleDb.1;Data Source=$Workbook$;Location=&quot;contacts (2)&quot;;Extended Properties=&quot;&quot;" command="SELECT * FROM [contacts (2)]"/>
  </connection>
  <connection id="3" xr16:uid="{00000000-0015-0000-FFFF-FFFF01000000}" name="contacts11" type="6" refreshedVersion="6" background="1" saveData="1">
    <textPr codePage="65001" sourceFile="C:\Users\usrvestacion3\Documents\Xavier Ramon\Contactos\contacts.csv" decimal="," thousands="." tab="0" comma="1">
      <textFields count="3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<sst xmlns="http://schemas.openxmlformats.org/spreadsheetml/2006/main" count="7615" uniqueCount="1539">
  <si>
    <t>+593 99 136 1415</t>
  </si>
  <si>
    <t>Adriana Cárdenas</t>
  </si>
  <si>
    <t>+593 96 891 1301</t>
  </si>
  <si>
    <t>After</t>
  </si>
  <si>
    <t>+593 96 817 5069</t>
  </si>
  <si>
    <t>Agustín Cárdenas</t>
  </si>
  <si>
    <t>+593 93 906 2427</t>
  </si>
  <si>
    <t>098 821 7105</t>
  </si>
  <si>
    <t>Alcides Buele</t>
  </si>
  <si>
    <t>+593 96 858 6114</t>
  </si>
  <si>
    <t>Alex Buele</t>
  </si>
  <si>
    <t>+593 99 149 6897</t>
  </si>
  <si>
    <t>Ali</t>
  </si>
  <si>
    <t>+593 99 483 6887</t>
  </si>
  <si>
    <t>Anabel Ramíre</t>
  </si>
  <si>
    <t>+593 98 669 2574</t>
  </si>
  <si>
    <t>Angelica</t>
  </si>
  <si>
    <t>099 850 0065</t>
  </si>
  <si>
    <t>Angie Torres</t>
  </si>
  <si>
    <t>0958997595</t>
  </si>
  <si>
    <t>Anita</t>
  </si>
  <si>
    <t>Antonio Guillén</t>
  </si>
  <si>
    <t>099 236 2012</t>
  </si>
  <si>
    <t>Aquiles Ojeda</t>
  </si>
  <si>
    <t>+593 95 967 8115</t>
  </si>
  <si>
    <t>Arsenio Castillo</t>
  </si>
  <si>
    <t>096 065 7974</t>
  </si>
  <si>
    <t>Aura Becerra Aura Becerra</t>
  </si>
  <si>
    <t>+593 99 155 6105</t>
  </si>
  <si>
    <t>Automotriz Bco</t>
  </si>
  <si>
    <t>+593 98 001 8028</t>
  </si>
  <si>
    <t>Bar Cuartel</t>
  </si>
  <si>
    <t>0997406207</t>
  </si>
  <si>
    <t>Batallon</t>
  </si>
  <si>
    <t>+593 93 996 5562</t>
  </si>
  <si>
    <t>Beatriz Garcia</t>
  </si>
  <si>
    <t>Benniz Cuenca</t>
  </si>
  <si>
    <t>+593 99 174 5519</t>
  </si>
  <si>
    <t>Beto Rojas</t>
  </si>
  <si>
    <t>0996469802</t>
  </si>
  <si>
    <t>Blanca zatama</t>
  </si>
  <si>
    <t>+593 98 708 5357</t>
  </si>
  <si>
    <t>Bustamante</t>
  </si>
  <si>
    <t>+593 99 746 3937</t>
  </si>
  <si>
    <t>Carmita Guaman</t>
  </si>
  <si>
    <t>+593 96 000 4623</t>
  </si>
  <si>
    <t>Chino Machala</t>
  </si>
  <si>
    <t>+593993118065</t>
  </si>
  <si>
    <t>Churro</t>
  </si>
  <si>
    <t>098 823 2503</t>
  </si>
  <si>
    <t>Clemente Huertas</t>
  </si>
  <si>
    <t>099 125 4252</t>
  </si>
  <si>
    <t>Cliente 0010</t>
  </si>
  <si>
    <t>099 433 7624</t>
  </si>
  <si>
    <t>Cliente 007</t>
  </si>
  <si>
    <t>+593993945819</t>
  </si>
  <si>
    <t>Cliente 008</t>
  </si>
  <si>
    <t>096 842 2741</t>
  </si>
  <si>
    <t>Cliente 0098</t>
  </si>
  <si>
    <t>+593 99 207 6952</t>
  </si>
  <si>
    <t>Cliente 101</t>
  </si>
  <si>
    <t>0959227431</t>
  </si>
  <si>
    <t>Cliente 102</t>
  </si>
  <si>
    <t>0981300376</t>
  </si>
  <si>
    <t>Cliente 103</t>
  </si>
  <si>
    <t>0986993623</t>
  </si>
  <si>
    <t>Cliente 104</t>
  </si>
  <si>
    <t>0999657900</t>
  </si>
  <si>
    <t>Cliente 105</t>
  </si>
  <si>
    <t>0985185240</t>
  </si>
  <si>
    <t>Cliente 111</t>
  </si>
  <si>
    <t>0993294677</t>
  </si>
  <si>
    <t>Cliente 12</t>
  </si>
  <si>
    <t>099 400 9361</t>
  </si>
  <si>
    <t>Cliente 13</t>
  </si>
  <si>
    <t>098 490 1032</t>
  </si>
  <si>
    <t>Cliente 20</t>
  </si>
  <si>
    <t>0967085804</t>
  </si>
  <si>
    <t>Cliente 21</t>
  </si>
  <si>
    <t>0960051427</t>
  </si>
  <si>
    <t>Cliente 22</t>
  </si>
  <si>
    <t>0992744823</t>
  </si>
  <si>
    <t>Cliente 23</t>
  </si>
  <si>
    <t>+593939924792</t>
  </si>
  <si>
    <t>Cliente 233</t>
  </si>
  <si>
    <t>+593991003491</t>
  </si>
  <si>
    <t>Cliente 234</t>
  </si>
  <si>
    <t>+593996409593</t>
  </si>
  <si>
    <t>Cliente 2345</t>
  </si>
  <si>
    <t>0999535018</t>
  </si>
  <si>
    <t>Cliente 24</t>
  </si>
  <si>
    <t>0993503622</t>
  </si>
  <si>
    <t>Cliente 25</t>
  </si>
  <si>
    <t>0988318372</t>
  </si>
  <si>
    <t>Cliente 26</t>
  </si>
  <si>
    <t>0959530626</t>
  </si>
  <si>
    <t>Cliente 27</t>
  </si>
  <si>
    <t>+593988343269</t>
  </si>
  <si>
    <t>Cliente 28</t>
  </si>
  <si>
    <t>098 200 4889</t>
  </si>
  <si>
    <t>Cliente 29</t>
  </si>
  <si>
    <t>0981812884</t>
  </si>
  <si>
    <t>Cliente 30</t>
  </si>
  <si>
    <t>0980032511</t>
  </si>
  <si>
    <t>Cliente 31</t>
  </si>
  <si>
    <t>0982614070</t>
  </si>
  <si>
    <t>Cliente 33</t>
  </si>
  <si>
    <t>0981510109</t>
  </si>
  <si>
    <t>Cliente 39</t>
  </si>
  <si>
    <t>098 582 8963</t>
  </si>
  <si>
    <t>Cliente 40</t>
  </si>
  <si>
    <t>098 556 5776</t>
  </si>
  <si>
    <t>Cliente 41</t>
  </si>
  <si>
    <t>Cliente 42</t>
  </si>
  <si>
    <t>0996076687</t>
  </si>
  <si>
    <t>Cliente 43</t>
  </si>
  <si>
    <t>0985743325</t>
  </si>
  <si>
    <t>Cliente 45</t>
  </si>
  <si>
    <t>+593959825220</t>
  </si>
  <si>
    <t>Cliente 46</t>
  </si>
  <si>
    <t>0997866456</t>
  </si>
  <si>
    <t>Cliente 47</t>
  </si>
  <si>
    <t>0991844428</t>
  </si>
  <si>
    <t>Cliente 48</t>
  </si>
  <si>
    <t>0968055003</t>
  </si>
  <si>
    <t>Cliente 50</t>
  </si>
  <si>
    <t>0996092380</t>
  </si>
  <si>
    <t>Cliente 51</t>
  </si>
  <si>
    <t>0995402736</t>
  </si>
  <si>
    <t>Cliente 52</t>
  </si>
  <si>
    <t>+593990953911</t>
  </si>
  <si>
    <t>cliente 88</t>
  </si>
  <si>
    <t>+593 98 992 0238</t>
  </si>
  <si>
    <t>cliente 999</t>
  </si>
  <si>
    <t>0988711049</t>
  </si>
  <si>
    <t>Cliente Buca</t>
  </si>
  <si>
    <t>0959566187</t>
  </si>
  <si>
    <t>Cliente Chile</t>
  </si>
  <si>
    <t>099 701 6566</t>
  </si>
  <si>
    <t>Cliente  Defensa Civil Cuchara</t>
  </si>
  <si>
    <t>+593 99 613 4014</t>
  </si>
  <si>
    <t>Cliente Doña Piedad Paulina</t>
  </si>
  <si>
    <t>099 796 2335</t>
  </si>
  <si>
    <t>Cliente Dr Pedro Lalangi</t>
  </si>
  <si>
    <t>+593 99 414 5092</t>
  </si>
  <si>
    <t>099 926 3171</t>
  </si>
  <si>
    <t>Cliente Frente Del Seguro</t>
  </si>
  <si>
    <t>098 816 8818</t>
  </si>
  <si>
    <t>+593996143398</t>
  </si>
  <si>
    <t>Cliente Madrugadora</t>
  </si>
  <si>
    <t>+593 98 439 3311</t>
  </si>
  <si>
    <t>Cliente Melida Jumbo</t>
  </si>
  <si>
    <t>099 191 4727</t>
  </si>
  <si>
    <t>Cliente Panadería</t>
  </si>
  <si>
    <t>099 112 8356</t>
  </si>
  <si>
    <t>Cliente Sanmarti</t>
  </si>
  <si>
    <t>0994009361</t>
  </si>
  <si>
    <t>Cliente Susana</t>
  </si>
  <si>
    <t>+593 99 532 9361</t>
  </si>
  <si>
    <t>Cliente Terminal Local2</t>
  </si>
  <si>
    <t>+593 99 721 6006</t>
  </si>
  <si>
    <t>Cliente Zhamungu</t>
  </si>
  <si>
    <t>0987301673</t>
  </si>
  <si>
    <t>Cliente15</t>
  </si>
  <si>
    <t>099 309 5589</t>
  </si>
  <si>
    <t>Cristian Calero</t>
  </si>
  <si>
    <t>+593 97 901 6449</t>
  </si>
  <si>
    <t>Cuartel Rancho</t>
  </si>
  <si>
    <t>+593991096260</t>
  </si>
  <si>
    <t>Danny Órdoñez</t>
  </si>
  <si>
    <t>099 306 7334</t>
  </si>
  <si>
    <t>Darwin Rey sexo</t>
  </si>
  <si>
    <t>+593 99 784 1545</t>
  </si>
  <si>
    <t>Darwin Shigcha</t>
  </si>
  <si>
    <t>099 375 6531</t>
  </si>
  <si>
    <t>David Jumbo</t>
  </si>
  <si>
    <t>0997325733</t>
  </si>
  <si>
    <t>Dianita Ortiz</t>
  </si>
  <si>
    <t>0989381603</t>
  </si>
  <si>
    <t>Dispensadores</t>
  </si>
  <si>
    <t>+593985861309</t>
  </si>
  <si>
    <t>Don Busta</t>
  </si>
  <si>
    <t>+593 96 758 1430</t>
  </si>
  <si>
    <t>Don Mena</t>
  </si>
  <si>
    <t>099 965 7900</t>
  </si>
  <si>
    <t>Don Toño</t>
  </si>
  <si>
    <t>0991449292</t>
  </si>
  <si>
    <t>Dra Patty</t>
  </si>
  <si>
    <t>+593998627420</t>
  </si>
  <si>
    <t>Eduardo Malla</t>
  </si>
  <si>
    <t>099 427 9650</t>
  </si>
  <si>
    <t>Ela Bustamante</t>
  </si>
  <si>
    <t>+593 96 830 9603</t>
  </si>
  <si>
    <t>Fabián Torres</t>
  </si>
  <si>
    <t>+593 99 808 9600</t>
  </si>
  <si>
    <t>Familia Cardenas</t>
  </si>
  <si>
    <t>+593 96 770 6234</t>
  </si>
  <si>
    <t>Familia Erraez Vélez</t>
  </si>
  <si>
    <t>+593 99 012 4242</t>
  </si>
  <si>
    <t>Familia Mora Mendoza</t>
  </si>
  <si>
    <t>+593 99 777 7790</t>
  </si>
  <si>
    <t>Fernando Gualan</t>
  </si>
  <si>
    <t>Flor Patiño</t>
  </si>
  <si>
    <t>+593 98 763 8050</t>
  </si>
  <si>
    <t>Franco Torres</t>
  </si>
  <si>
    <t>099 530 4748</t>
  </si>
  <si>
    <t>Freddy Varón</t>
  </si>
  <si>
    <t>+593 98 942 8435</t>
  </si>
  <si>
    <t>Gaby Paredes</t>
  </si>
  <si>
    <t>099 274 4823</t>
  </si>
  <si>
    <t>Gael</t>
  </si>
  <si>
    <t>+593 95 959 2053</t>
  </si>
  <si>
    <t>Galo Fernandez</t>
  </si>
  <si>
    <t>0990926119</t>
  </si>
  <si>
    <t>Gladis Montalvan</t>
  </si>
  <si>
    <t>+593 96 805 4717</t>
  </si>
  <si>
    <t>Gonzalo Ambuludi</t>
  </si>
  <si>
    <t>+593 98 936 3486</t>
  </si>
  <si>
    <t>0981897049</t>
  </si>
  <si>
    <t>Gym</t>
  </si>
  <si>
    <t>+593 99 105 0096</t>
  </si>
  <si>
    <t>Hamburguesas</t>
  </si>
  <si>
    <t>0991640461</t>
  </si>
  <si>
    <t>Hernan Amaguaña</t>
  </si>
  <si>
    <t>+593 99 810 1891</t>
  </si>
  <si>
    <t>Hernan Rodriguez</t>
  </si>
  <si>
    <t>0994900946</t>
  </si>
  <si>
    <t>Hilda León</t>
  </si>
  <si>
    <t>0997563429</t>
  </si>
  <si>
    <t>Hna Lic Johana</t>
  </si>
  <si>
    <t>Hugo Martines</t>
  </si>
  <si>
    <t>Ing Robles</t>
  </si>
  <si>
    <t>0990972147</t>
  </si>
  <si>
    <t>Irene</t>
  </si>
  <si>
    <t>+593 99 766 3210</t>
  </si>
  <si>
    <t>Jeni Valdivieso</t>
  </si>
  <si>
    <t>0958809388</t>
  </si>
  <si>
    <t>Jenny Casti Loja</t>
  </si>
  <si>
    <t>0982562540</t>
  </si>
  <si>
    <t>Jesenia Gutiérrez</t>
  </si>
  <si>
    <t>+593 98 857 7138</t>
  </si>
  <si>
    <t>Jessica Torres</t>
  </si>
  <si>
    <t>+593 98 826 9370</t>
  </si>
  <si>
    <t>Jonathan Chamba</t>
  </si>
  <si>
    <t>+593 98 804 8482</t>
  </si>
  <si>
    <t>Jose Btte</t>
  </si>
  <si>
    <t>+593 99 739 2062</t>
  </si>
  <si>
    <t>José Luis Vera</t>
  </si>
  <si>
    <t>+593 96 094 7157</t>
  </si>
  <si>
    <t>Juan Bravo</t>
  </si>
  <si>
    <t>0985571220</t>
  </si>
  <si>
    <t>Juan Carlos Guaycha</t>
  </si>
  <si>
    <t>+593 99 447 4999</t>
  </si>
  <si>
    <t>Juan Pablo Bustamante</t>
  </si>
  <si>
    <t>+593 98 622 6536</t>
  </si>
  <si>
    <t>Juan Quezada Bly</t>
  </si>
  <si>
    <t>+593992287805</t>
  </si>
  <si>
    <t>Julio Silva</t>
  </si>
  <si>
    <t>+593 96 107 7088</t>
  </si>
  <si>
    <t>Karen Yanela</t>
  </si>
  <si>
    <t>+593 97 970 5748</t>
  </si>
  <si>
    <t>Klever Martinez</t>
  </si>
  <si>
    <t>0993801806</t>
  </si>
  <si>
    <t>Labolab</t>
  </si>
  <si>
    <t>0999590412</t>
  </si>
  <si>
    <t>Leandro</t>
  </si>
  <si>
    <t>+593 99 421 1015</t>
  </si>
  <si>
    <t>Leonardo Maza</t>
  </si>
  <si>
    <t>+593 93 992 4792</t>
  </si>
  <si>
    <t>Licorera celestial</t>
  </si>
  <si>
    <t>+593 98 676 4037</t>
  </si>
  <si>
    <t>Lilia Btte</t>
  </si>
  <si>
    <t>0988508970</t>
  </si>
  <si>
    <t>Linda Bustamante</t>
  </si>
  <si>
    <t>+593 98 265 7533</t>
  </si>
  <si>
    <t>Lizardo</t>
  </si>
  <si>
    <t>+593 95 862 5434</t>
  </si>
  <si>
    <t>Lorgia Jumbo</t>
  </si>
  <si>
    <t>+593 96 200 5484</t>
  </si>
  <si>
    <t>Lucarqui 2</t>
  </si>
  <si>
    <t>+593 96 208 9993</t>
  </si>
  <si>
    <t>Luchita Chalan</t>
  </si>
  <si>
    <t>0995124833</t>
  </si>
  <si>
    <t>Lucho Grand</t>
  </si>
  <si>
    <t>097 920 2190</t>
  </si>
  <si>
    <t>Lucho Jaya</t>
  </si>
  <si>
    <t>0992107712</t>
  </si>
  <si>
    <t>Luis Conde</t>
  </si>
  <si>
    <t>+593 99 939 5862</t>
  </si>
  <si>
    <t>LuisG Villa 229</t>
  </si>
  <si>
    <t>+593 96 293 0913</t>
  </si>
  <si>
    <t>Manuel Jaya</t>
  </si>
  <si>
    <t>+593 99 640 9593</t>
  </si>
  <si>
    <t>Manuel Mora</t>
  </si>
  <si>
    <t>0992280329</t>
  </si>
  <si>
    <t>Marco Silva</t>
  </si>
  <si>
    <t>+593 99 104 2404</t>
  </si>
  <si>
    <t>Maria Yaguachi</t>
  </si>
  <si>
    <t>+593 98 793 8282</t>
  </si>
  <si>
    <t>Maricela</t>
  </si>
  <si>
    <t>+593 99 074 7505</t>
  </si>
  <si>
    <t>Mario Ambuludi</t>
  </si>
  <si>
    <t>+593 99 095 3911</t>
  </si>
  <si>
    <t>Martha Mora</t>
  </si>
  <si>
    <t>0979500024</t>
  </si>
  <si>
    <t>Martita</t>
  </si>
  <si>
    <t>+593962607861</t>
  </si>
  <si>
    <t>Mayu Zat</t>
  </si>
  <si>
    <t>+593 98 010 5390</t>
  </si>
  <si>
    <t>Mercy Jimbo</t>
  </si>
  <si>
    <t>+593 95 991 6800</t>
  </si>
  <si>
    <t>Mercy Villena</t>
  </si>
  <si>
    <t>+593 98 515 7661</t>
  </si>
  <si>
    <t>Mery Mendoza</t>
  </si>
  <si>
    <t>+593 99 356 6282</t>
  </si>
  <si>
    <t>Miren Jumbo</t>
  </si>
  <si>
    <t>+593 96 057 6419</t>
  </si>
  <si>
    <t>Miriam Cárden</t>
  </si>
  <si>
    <t>0969737092</t>
  </si>
  <si>
    <t>Municipio</t>
  </si>
  <si>
    <t>+593 95 982 5220</t>
  </si>
  <si>
    <t>0998491105</t>
  </si>
  <si>
    <t>Ñañ Daniel</t>
  </si>
  <si>
    <t>+593 99 303 0475</t>
  </si>
  <si>
    <t>Nancy Cando</t>
  </si>
  <si>
    <t>099 796 2200</t>
  </si>
  <si>
    <t>Néstor Pdre</t>
  </si>
  <si>
    <t>+593 99 321 0666</t>
  </si>
  <si>
    <t>Nicolas Ortiz</t>
  </si>
  <si>
    <t>+593 96 072 3324</t>
  </si>
  <si>
    <t>Nixon</t>
  </si>
  <si>
    <t>+593 99 851 1522</t>
  </si>
  <si>
    <t>Obst. Teresa Viz</t>
  </si>
  <si>
    <t>0992257495</t>
  </si>
  <si>
    <t>Patricio Villas</t>
  </si>
  <si>
    <t>+593 99 109 6260</t>
  </si>
  <si>
    <t>Piedad Eras</t>
  </si>
  <si>
    <t>+593 96 799 0940</t>
  </si>
  <si>
    <t>Piedad Martínez</t>
  </si>
  <si>
    <t>+593 99 796 2335</t>
  </si>
  <si>
    <t>Pindal</t>
  </si>
  <si>
    <t>+593962299700</t>
  </si>
  <si>
    <t>Piter</t>
  </si>
  <si>
    <t>0985035960</t>
  </si>
  <si>
    <t>Prodental</t>
  </si>
  <si>
    <t>+593 99 875 3361</t>
  </si>
  <si>
    <t>+593 96 744 4351</t>
  </si>
  <si>
    <t>PROSELITISMO</t>
  </si>
  <si>
    <t>0980300005</t>
  </si>
  <si>
    <t>Rawi Montilla Vending</t>
  </si>
  <si>
    <t>096 400 9806</t>
  </si>
  <si>
    <t>Restaurant Celes</t>
  </si>
  <si>
    <t>0962300089</t>
  </si>
  <si>
    <t>Riofrío Tecnico</t>
  </si>
  <si>
    <t>099 425 3929</t>
  </si>
  <si>
    <t>Rita Barba</t>
  </si>
  <si>
    <t>095 926 7582</t>
  </si>
  <si>
    <t>Roberto Mora</t>
  </si>
  <si>
    <t>+593 99 210 4015</t>
  </si>
  <si>
    <t>Rojo Cliente</t>
  </si>
  <si>
    <t>+593 95 907 1665</t>
  </si>
  <si>
    <t>Rosa Barahona</t>
  </si>
  <si>
    <t>096 805 5003</t>
  </si>
  <si>
    <t>Rosa Elizalde</t>
  </si>
  <si>
    <t>+593 99 394 5819</t>
  </si>
  <si>
    <t>Rosa Ordóñez</t>
  </si>
  <si>
    <t>+593 95 892 3425</t>
  </si>
  <si>
    <t>Rosario Robles</t>
  </si>
  <si>
    <t>+593 93 908 7860</t>
  </si>
  <si>
    <t>Rosita León🦁</t>
  </si>
  <si>
    <t>+593 96 703 3046</t>
  </si>
  <si>
    <t>San Juaquin</t>
  </si>
  <si>
    <t>+593 99 614 3398</t>
  </si>
  <si>
    <t>Sandy Espinoza</t>
  </si>
  <si>
    <t>+593 93 971 0330</t>
  </si>
  <si>
    <t>Sergio Arteaga P</t>
  </si>
  <si>
    <t>+593991666623</t>
  </si>
  <si>
    <t>Sinche</t>
  </si>
  <si>
    <t>0980539149</t>
  </si>
  <si>
    <t>Sra Elena</t>
  </si>
  <si>
    <t>+593983639365</t>
  </si>
  <si>
    <t>Stalin Landi</t>
  </si>
  <si>
    <t>0990039180</t>
  </si>
  <si>
    <t>Stalin Landi1</t>
  </si>
  <si>
    <t>0986477204</t>
  </si>
  <si>
    <t>Susan Benites</t>
  </si>
  <si>
    <t>+593995329361</t>
  </si>
  <si>
    <t>Taller Beniz</t>
  </si>
  <si>
    <t>+593 98 940 8278</t>
  </si>
  <si>
    <t>Tefa Bustamante</t>
  </si>
  <si>
    <t>+593 96 107 7309</t>
  </si>
  <si>
    <t>Telmo Silva</t>
  </si>
  <si>
    <t>+593 98 050 1086</t>
  </si>
  <si>
    <t>Teodoro Calva</t>
  </si>
  <si>
    <t>093 988 1047</t>
  </si>
  <si>
    <t>Terminal Bunche</t>
  </si>
  <si>
    <t>+593993095589</t>
  </si>
  <si>
    <t>Tienda Confraternidad</t>
  </si>
  <si>
    <t>+593967755890</t>
  </si>
  <si>
    <t>Tienda divino Niño 5 de sep</t>
  </si>
  <si>
    <t>+593 98 934 4333</t>
  </si>
  <si>
    <t>Tienda Karlita</t>
  </si>
  <si>
    <t>+593 99 228 7805</t>
  </si>
  <si>
    <t>Tienda seguro</t>
  </si>
  <si>
    <t>+593 99 051 1093</t>
  </si>
  <si>
    <t>Toño Villalta</t>
  </si>
  <si>
    <t>+593 98 888 2617</t>
  </si>
  <si>
    <t>TURISMO</t>
  </si>
  <si>
    <t>0962499998</t>
  </si>
  <si>
    <t>Valeria Ramírez</t>
  </si>
  <si>
    <t>+593 98 036 1448</t>
  </si>
  <si>
    <t>Vanesa Camacho</t>
  </si>
  <si>
    <t>+593 99 322 6702</t>
  </si>
  <si>
    <t>Venado</t>
  </si>
  <si>
    <t>095 987 4881</t>
  </si>
  <si>
    <t>Venezolano</t>
  </si>
  <si>
    <t>0985044973</t>
  </si>
  <si>
    <t>VENTAS</t>
  </si>
  <si>
    <t>0980300006</t>
  </si>
  <si>
    <t>Veronica Castillo</t>
  </si>
  <si>
    <t>+593 98 260 7521</t>
  </si>
  <si>
    <t>Vikita</t>
  </si>
  <si>
    <t>+593985027311</t>
  </si>
  <si>
    <t>villa 118</t>
  </si>
  <si>
    <t>+593 98 998 1825</t>
  </si>
  <si>
    <t>Villa 210</t>
  </si>
  <si>
    <t>+593 98 195 5016</t>
  </si>
  <si>
    <t>Villa 211</t>
  </si>
  <si>
    <t>+593 99 349 7404</t>
  </si>
  <si>
    <t>Villa 215</t>
  </si>
  <si>
    <t>+593 96 229 9700</t>
  </si>
  <si>
    <t>Villa 221</t>
  </si>
  <si>
    <t>+593 98 658 5505</t>
  </si>
  <si>
    <t>Villa 222</t>
  </si>
  <si>
    <t>+593 98 829 1616</t>
  </si>
  <si>
    <t>Villa 224</t>
  </si>
  <si>
    <t>0961512905</t>
  </si>
  <si>
    <t>Villa 226</t>
  </si>
  <si>
    <t>098 831 8372</t>
  </si>
  <si>
    <t>Villa 227</t>
  </si>
  <si>
    <t>0985784371</t>
  </si>
  <si>
    <t>Villa 228 N</t>
  </si>
  <si>
    <t>Villa 238</t>
  </si>
  <si>
    <t>+593 98 767 1209</t>
  </si>
  <si>
    <t>Vinicio Cuartel</t>
  </si>
  <si>
    <t>+593 96 020 4989</t>
  </si>
  <si>
    <t>Vinicio Vera</t>
  </si>
  <si>
    <t>+593 98 075 7947</t>
  </si>
  <si>
    <t>Wainer Bustamant</t>
  </si>
  <si>
    <t>0992094363</t>
  </si>
  <si>
    <t>Ximena Landi</t>
  </si>
  <si>
    <t>+593 98 041 4952</t>
  </si>
  <si>
    <t>0997391512</t>
  </si>
  <si>
    <t>+593 99 941 4640</t>
  </si>
  <si>
    <t>096 759 6081</t>
  </si>
  <si>
    <t>0993756531</t>
  </si>
  <si>
    <t>Fernando Gualan 2</t>
  </si>
  <si>
    <t>+593 99 067 1511</t>
  </si>
  <si>
    <t>0993614977</t>
  </si>
  <si>
    <t>096 123 9014</t>
  </si>
  <si>
    <t xml:space="preserve">0968844176 </t>
  </si>
  <si>
    <t>Beatriz Garcia 2</t>
  </si>
  <si>
    <t>072657558</t>
  </si>
  <si>
    <t>-4.11035819553039, -79.95555968876376</t>
  </si>
  <si>
    <t>-4.104260119045553, -79.95477663177594</t>
  </si>
  <si>
    <t>-4.10299342650708, -79.95654627164038</t>
  </si>
  <si>
    <t>-4.103536519248756, -79.95726242144492</t>
  </si>
  <si>
    <t>-4.10255199616966, -79.9577613123271</t>
  </si>
  <si>
    <t>-4.107091588186018, -79.9533204361886</t>
  </si>
  <si>
    <t>-4.104096560816354, -79.95715867727002</t>
  </si>
  <si>
    <t>-4.101310198803472, -79.95712179686356</t>
  </si>
  <si>
    <t>-4.102869251816913, -79.9559738113986</t>
  </si>
  <si>
    <t>-4.104863711611431, -79.9549394845437</t>
  </si>
  <si>
    <t>-4.10093230690856, -79.95647169641776</t>
  </si>
  <si>
    <t>-4.098727086070571, -79.96134228626936</t>
  </si>
  <si>
    <t>-4.102271126710051, -79.9565145103599</t>
  </si>
  <si>
    <t>-4.103461551025725, -79.95447407655487</t>
  </si>
  <si>
    <t>-4.1029893545971525, -79.95660576216434</t>
  </si>
  <si>
    <t>-4.1030615886384005, -79.95703491560553</t>
  </si>
  <si>
    <t>-4.104372501414455, -79.95650048546811</t>
  </si>
  <si>
    <t>-4.1056874250389646, -79.95567637673685</t>
  </si>
  <si>
    <t>-4.103527096693762, -79.95354737333959</t>
  </si>
  <si>
    <t>-4.098284732570769, -79.95841190145259</t>
  </si>
  <si>
    <t>-4.103346479463884, -79.95804645047077</t>
  </si>
  <si>
    <t>-4.106208281148113, -79.95480043567936</t>
  </si>
  <si>
    <t>-4.10275710590743, -79.9529544053176</t>
  </si>
  <si>
    <t>-4.102014395525535, -79.95760025511616</t>
  </si>
  <si>
    <t>-4.103598194002668, -79.95593058000651</t>
  </si>
  <si>
    <t>-4.103366777701993, -79.95424950550282</t>
  </si>
  <si>
    <t>-4.103529973019165, -79.95472157428792</t>
  </si>
  <si>
    <t>-4.104276390520996, -79.95477521847255</t>
  </si>
  <si>
    <t>-4.104389966251838, -79.9571214898762</t>
  </si>
  <si>
    <t>-4.10443861125979, -79.95709849962863</t>
  </si>
  <si>
    <t>-4.100438983216434, -79.95730905301768</t>
  </si>
  <si>
    <t>-4.103412621625551, -79.95507879623655</t>
  </si>
  <si>
    <t>-4.098721411034919, -79.96139405733327</t>
  </si>
  <si>
    <t>-4.102732453704307, -79.957899225712</t>
  </si>
  <si>
    <t>-4.1032053191080164, -79.95556972720061</t>
  </si>
  <si>
    <t>-4.10340396263913, -79.95404086805779</t>
  </si>
  <si>
    <t>-4.098966910125844, -79.95729975195768</t>
  </si>
  <si>
    <t>-4.10428271253998, -79.95570261581307</t>
  </si>
  <si>
    <t>-4.104073367930686, -79.95848674872202</t>
  </si>
  <si>
    <t>-4.098266540863108, -79.95865170456763</t>
  </si>
  <si>
    <t>-4.1034694117158965, -79.95504815675847</t>
  </si>
  <si>
    <t>-4.1100601850436735, -79.9538473509405</t>
  </si>
  <si>
    <t>-4.099686599455252, -79.95705795511932</t>
  </si>
  <si>
    <t>-4.100523313412705, -79.95782238465719</t>
  </si>
  <si>
    <t>-4.104102914143867, -79.95512542353677</t>
  </si>
  <si>
    <t>-4.098861923673714, -79.95777276378503</t>
  </si>
  <si>
    <t>-4.098886001809109, -79.9577083907697</t>
  </si>
  <si>
    <t>-4.098829819492076, -79.95760914903775</t>
  </si>
  <si>
    <t>-4.0988191180979126, -79.95803562026425</t>
  </si>
  <si>
    <t>Villa 243</t>
  </si>
  <si>
    <t>+593 96 701 6702</t>
  </si>
  <si>
    <t>Villa 209</t>
  </si>
  <si>
    <t>+593 99 475 3384</t>
  </si>
  <si>
    <t>-4.098944859465335, -79.95758769136573</t>
  </si>
  <si>
    <t>-4.099477253570464, -79.95809194664992</t>
  </si>
  <si>
    <t>Ivan Elizalde</t>
  </si>
  <si>
    <t>+593 93 915 3513</t>
  </si>
  <si>
    <t>-4.102305089686583, -79.95327738152828</t>
  </si>
  <si>
    <t>-4.103330936357155, -79.95805623758292</t>
  </si>
  <si>
    <t>-4.09837085265851, -79.95779338112183</t>
  </si>
  <si>
    <t>-4.104778290480249, -79.95501461258333</t>
  </si>
  <si>
    <t>-4.107132576181125, -79.9533409141849</t>
  </si>
  <si>
    <t>-4.1005111298565105, -79.95780545105781</t>
  </si>
  <si>
    <t>-4.100412142163173, -79.95596411459863</t>
  </si>
  <si>
    <t>-4.0989861829261525, -79.95731326571939</t>
  </si>
  <si>
    <t>Jorge Jaramillo</t>
  </si>
  <si>
    <t>Edgar Bustamante</t>
  </si>
  <si>
    <t>Chova</t>
  </si>
  <si>
    <t>-4.1028852178416555, -79.95821983109745</t>
  </si>
  <si>
    <t>+593 98 836 6476</t>
  </si>
  <si>
    <t>Katerine Campoverde</t>
  </si>
  <si>
    <t>+593987290080</t>
  </si>
  <si>
    <t>-4.099601470142086, -79.95712791654154</t>
  </si>
  <si>
    <t>Negro Mario</t>
  </si>
  <si>
    <t>Hilda Amaguaña</t>
  </si>
  <si>
    <t>+593 97 980 6900</t>
  </si>
  <si>
    <t>-4.102761489126005, -79.95296210449344</t>
  </si>
  <si>
    <t>-4.1030798539735365, -79.95702162779264</t>
  </si>
  <si>
    <t>-4.102933787802677, -79.95621958687671</t>
  </si>
  <si>
    <t>-4.101211983424662, -79.9577127932504</t>
  </si>
  <si>
    <t>Name</t>
  </si>
  <si>
    <t>Phone 1 - Value</t>
  </si>
  <si>
    <t>Alfonso capa</t>
  </si>
  <si>
    <t>+593 98 442 0602</t>
  </si>
  <si>
    <t>Andrés Temezaca</t>
  </si>
  <si>
    <t>099 794 2005</t>
  </si>
  <si>
    <t>Antonia Escobar</t>
  </si>
  <si>
    <t>099 767 4277</t>
  </si>
  <si>
    <t>+593997391512 ::: +593 99 941 4640</t>
  </si>
  <si>
    <t>Bianca Cuenca</t>
  </si>
  <si>
    <t>+593 98 900 6195</t>
  </si>
  <si>
    <t>Bisque Seco</t>
  </si>
  <si>
    <t>+593 98 914 7781</t>
  </si>
  <si>
    <t>Byron Mora</t>
  </si>
  <si>
    <t>+593 98 535 8498</t>
  </si>
  <si>
    <t>Carlos Alvear</t>
  </si>
  <si>
    <t>+593 98 947 0830</t>
  </si>
  <si>
    <t>Carlos Julio</t>
  </si>
  <si>
    <t>+593 98 507 4901</t>
  </si>
  <si>
    <t>Carlos Pazmiño</t>
  </si>
  <si>
    <t>099 117 1271</t>
  </si>
  <si>
    <t>Churorona</t>
  </si>
  <si>
    <t>099 745 0292</t>
  </si>
  <si>
    <t>Claudia Cabrera</t>
  </si>
  <si>
    <t>096 794 6080</t>
  </si>
  <si>
    <t>Cliente Edgar Bustamante</t>
  </si>
  <si>
    <t>Cliente Jorge Jaramillo</t>
  </si>
  <si>
    <t>Diego Ramirez</t>
  </si>
  <si>
    <t>+593 98 699 3623</t>
  </si>
  <si>
    <t>Don Bolivar</t>
  </si>
  <si>
    <t>Elizabeth Jimbo</t>
  </si>
  <si>
    <t>099 245 4466</t>
  </si>
  <si>
    <t>Emil</t>
  </si>
  <si>
    <t>098 711 3547</t>
  </si>
  <si>
    <t>0993614977 ::: +593 99 067 1511</t>
  </si>
  <si>
    <t>Franco Rogel</t>
  </si>
  <si>
    <t>+593 99 376 3520</t>
  </si>
  <si>
    <t>Gordillo</t>
  </si>
  <si>
    <t>0958809388 ::: 098 346 3555</t>
  </si>
  <si>
    <t>Jumbo San Martin</t>
  </si>
  <si>
    <t>+593 98 612 7244</t>
  </si>
  <si>
    <t>Lillan Grisales</t>
  </si>
  <si>
    <t>+593 98 744 9382</t>
  </si>
  <si>
    <t>Marcela Narvaez</t>
  </si>
  <si>
    <t>096 704 5388</t>
  </si>
  <si>
    <t>Mercedes Torres</t>
  </si>
  <si>
    <t>+593 98 526 1421</t>
  </si>
  <si>
    <t>Sra.Jenny Mendoza</t>
  </si>
  <si>
    <t>+593 99 340 6258</t>
  </si>
  <si>
    <t>Stalin Alvear</t>
  </si>
  <si>
    <t>098 534 4362</t>
  </si>
  <si>
    <t>Super Cerry 200</t>
  </si>
  <si>
    <t>099 344 7491</t>
  </si>
  <si>
    <t>Tapas</t>
  </si>
  <si>
    <t>Venado 2</t>
  </si>
  <si>
    <t>099 514 6664</t>
  </si>
  <si>
    <t>Villa 102</t>
  </si>
  <si>
    <t>099 113 9967</t>
  </si>
  <si>
    <t>0968844176 ::: 096 123 9014</t>
  </si>
  <si>
    <t>Villa 230</t>
  </si>
  <si>
    <t>+593 98 887 2363</t>
  </si>
  <si>
    <t>Villa 232</t>
  </si>
  <si>
    <t>+593 98 277 3433</t>
  </si>
  <si>
    <t>Villa 241</t>
  </si>
  <si>
    <t>+593 98 834 3269</t>
  </si>
  <si>
    <t>Walter Eras</t>
  </si>
  <si>
    <t>098 188 8581</t>
  </si>
  <si>
    <t>Numero de cliente</t>
  </si>
  <si>
    <t>Abogado Calderón</t>
  </si>
  <si>
    <t>Fecha de Actualizacion</t>
  </si>
  <si>
    <t xml:space="preserve">Contactos agregados </t>
  </si>
  <si>
    <t>+593987429454</t>
  </si>
  <si>
    <t>ubicación</t>
  </si>
  <si>
    <t>AC10001</t>
  </si>
  <si>
    <t>AC10002</t>
  </si>
  <si>
    <t>AC10003</t>
  </si>
  <si>
    <t>AC10004</t>
  </si>
  <si>
    <t>AC10005</t>
  </si>
  <si>
    <t>AC10006</t>
  </si>
  <si>
    <t>AC10007</t>
  </si>
  <si>
    <t>AC10008</t>
  </si>
  <si>
    <t>AC10009</t>
  </si>
  <si>
    <t>AC10010</t>
  </si>
  <si>
    <t>AC10011</t>
  </si>
  <si>
    <t>AC10012</t>
  </si>
  <si>
    <t>AC10013</t>
  </si>
  <si>
    <t>AC10014</t>
  </si>
  <si>
    <t>AC10015</t>
  </si>
  <si>
    <t>AC10016</t>
  </si>
  <si>
    <t>AC10017</t>
  </si>
  <si>
    <t>AC10018</t>
  </si>
  <si>
    <t>AC10019</t>
  </si>
  <si>
    <t>AC10020</t>
  </si>
  <si>
    <t>AC10021</t>
  </si>
  <si>
    <t>AC10022</t>
  </si>
  <si>
    <t>AC10023</t>
  </si>
  <si>
    <t>AC10024</t>
  </si>
  <si>
    <t>AC10025</t>
  </si>
  <si>
    <t>AC10026</t>
  </si>
  <si>
    <t>AC10027</t>
  </si>
  <si>
    <t>AC10028</t>
  </si>
  <si>
    <t>AC10029</t>
  </si>
  <si>
    <t>AC10030</t>
  </si>
  <si>
    <t>AC10031</t>
  </si>
  <si>
    <t>AC10032</t>
  </si>
  <si>
    <t>AC10033</t>
  </si>
  <si>
    <t>AC10034</t>
  </si>
  <si>
    <t>AC10035</t>
  </si>
  <si>
    <t>AC10036</t>
  </si>
  <si>
    <t>AC10037</t>
  </si>
  <si>
    <t>AC10038</t>
  </si>
  <si>
    <t>AC10039</t>
  </si>
  <si>
    <t>AC10040</t>
  </si>
  <si>
    <t>AC10041</t>
  </si>
  <si>
    <t>AC10042</t>
  </si>
  <si>
    <t>AC10043</t>
  </si>
  <si>
    <t>AC10044</t>
  </si>
  <si>
    <t>AC10045</t>
  </si>
  <si>
    <t>AC10046</t>
  </si>
  <si>
    <t>AC10047</t>
  </si>
  <si>
    <t>AC10048</t>
  </si>
  <si>
    <t>AC10049</t>
  </si>
  <si>
    <t>AC10050</t>
  </si>
  <si>
    <t>AC10051</t>
  </si>
  <si>
    <t>AC10052</t>
  </si>
  <si>
    <t>AC10053</t>
  </si>
  <si>
    <t>AC10054</t>
  </si>
  <si>
    <t>AC10055</t>
  </si>
  <si>
    <t>AC10056</t>
  </si>
  <si>
    <t>AC10057</t>
  </si>
  <si>
    <t>AC10058</t>
  </si>
  <si>
    <t>AC10059</t>
  </si>
  <si>
    <t>AC10060</t>
  </si>
  <si>
    <t>AC10061</t>
  </si>
  <si>
    <t>AC10062</t>
  </si>
  <si>
    <t>AC10063</t>
  </si>
  <si>
    <t>AC10064</t>
  </si>
  <si>
    <t>AC10065</t>
  </si>
  <si>
    <t>AC10066</t>
  </si>
  <si>
    <t>AC10067</t>
  </si>
  <si>
    <t>AC10068</t>
  </si>
  <si>
    <t>AC10069</t>
  </si>
  <si>
    <t>AC10070</t>
  </si>
  <si>
    <t>AC10071</t>
  </si>
  <si>
    <t>AC10072</t>
  </si>
  <si>
    <t>AC10073</t>
  </si>
  <si>
    <t>AC10074</t>
  </si>
  <si>
    <t>AC10075</t>
  </si>
  <si>
    <t>AC10076</t>
  </si>
  <si>
    <t>AC10077</t>
  </si>
  <si>
    <t>AC10078</t>
  </si>
  <si>
    <t>AC10079</t>
  </si>
  <si>
    <t>AC10080</t>
  </si>
  <si>
    <t>AC10081</t>
  </si>
  <si>
    <t>AC10082</t>
  </si>
  <si>
    <t>AC10083</t>
  </si>
  <si>
    <t>AC10084</t>
  </si>
  <si>
    <t>AC10085</t>
  </si>
  <si>
    <t>AC10086</t>
  </si>
  <si>
    <t>AC10087</t>
  </si>
  <si>
    <t>AC10088</t>
  </si>
  <si>
    <t>AC10089</t>
  </si>
  <si>
    <t>AC10090</t>
  </si>
  <si>
    <t>AC10091</t>
  </si>
  <si>
    <t>AC10092</t>
  </si>
  <si>
    <t>AC10093</t>
  </si>
  <si>
    <t>AC10094</t>
  </si>
  <si>
    <t>AC10095</t>
  </si>
  <si>
    <t>AC10096</t>
  </si>
  <si>
    <t>AC10097</t>
  </si>
  <si>
    <t>AC10098</t>
  </si>
  <si>
    <t>AC10099</t>
  </si>
  <si>
    <t>AC10100</t>
  </si>
  <si>
    <t>AC10101</t>
  </si>
  <si>
    <t>AC10102</t>
  </si>
  <si>
    <t>AC10103</t>
  </si>
  <si>
    <t>AC10104</t>
  </si>
  <si>
    <t>AC10105</t>
  </si>
  <si>
    <t>AC10106</t>
  </si>
  <si>
    <t>AC10107</t>
  </si>
  <si>
    <t>AC10108</t>
  </si>
  <si>
    <t>AC10109</t>
  </si>
  <si>
    <t>AC10110</t>
  </si>
  <si>
    <t>AC10111</t>
  </si>
  <si>
    <t>AC10112</t>
  </si>
  <si>
    <t>AC10113</t>
  </si>
  <si>
    <t>AC10114</t>
  </si>
  <si>
    <t>AC10115</t>
  </si>
  <si>
    <t>AC10116</t>
  </si>
  <si>
    <t>AC10117</t>
  </si>
  <si>
    <t>AC10118</t>
  </si>
  <si>
    <t>AC10119</t>
  </si>
  <si>
    <t>AC10120</t>
  </si>
  <si>
    <t>AC10121</t>
  </si>
  <si>
    <t>AC10122</t>
  </si>
  <si>
    <t>AC10123</t>
  </si>
  <si>
    <t>AC10124</t>
  </si>
  <si>
    <t>AC10125</t>
  </si>
  <si>
    <t>AC10126</t>
  </si>
  <si>
    <t>AC10127</t>
  </si>
  <si>
    <t>AC10128</t>
  </si>
  <si>
    <t>AC10129</t>
  </si>
  <si>
    <t>AC10130</t>
  </si>
  <si>
    <t>AC10131</t>
  </si>
  <si>
    <t>AC10132</t>
  </si>
  <si>
    <t>AC10133</t>
  </si>
  <si>
    <t>AC10134</t>
  </si>
  <si>
    <t>AC10135</t>
  </si>
  <si>
    <t>AC10136</t>
  </si>
  <si>
    <t>AC10137</t>
  </si>
  <si>
    <t>AC10138</t>
  </si>
  <si>
    <t>AC10139</t>
  </si>
  <si>
    <t>AC10140</t>
  </si>
  <si>
    <t>AC10141</t>
  </si>
  <si>
    <t>AC10142</t>
  </si>
  <si>
    <t>AC10143</t>
  </si>
  <si>
    <t>AC10144</t>
  </si>
  <si>
    <t>AC10145</t>
  </si>
  <si>
    <t>AC10146</t>
  </si>
  <si>
    <t>AC10147</t>
  </si>
  <si>
    <t>AC10148</t>
  </si>
  <si>
    <t>AC10149</t>
  </si>
  <si>
    <t>AC10150</t>
  </si>
  <si>
    <t>AC10151</t>
  </si>
  <si>
    <t>AC10152</t>
  </si>
  <si>
    <t>AC10153</t>
  </si>
  <si>
    <t>AC10154</t>
  </si>
  <si>
    <t>AC10155</t>
  </si>
  <si>
    <t>AC10156</t>
  </si>
  <si>
    <t>AC10157</t>
  </si>
  <si>
    <t>AC10158</t>
  </si>
  <si>
    <t>AC10159</t>
  </si>
  <si>
    <t>AC10160</t>
  </si>
  <si>
    <t>AC10161</t>
  </si>
  <si>
    <t>AC10162</t>
  </si>
  <si>
    <t>AC10163</t>
  </si>
  <si>
    <t>AC10164</t>
  </si>
  <si>
    <t>AC10165</t>
  </si>
  <si>
    <t>AC10166</t>
  </si>
  <si>
    <t>AC10167</t>
  </si>
  <si>
    <t>AC10168</t>
  </si>
  <si>
    <t>AC10169</t>
  </si>
  <si>
    <t>AC10170</t>
  </si>
  <si>
    <t>AC10171</t>
  </si>
  <si>
    <t>AC10172</t>
  </si>
  <si>
    <t>AC10173</t>
  </si>
  <si>
    <t>AC10174</t>
  </si>
  <si>
    <t>AC10175</t>
  </si>
  <si>
    <t>AC10176</t>
  </si>
  <si>
    <t>AC10177</t>
  </si>
  <si>
    <t>AC10178</t>
  </si>
  <si>
    <t>AC10179</t>
  </si>
  <si>
    <t>AC10180</t>
  </si>
  <si>
    <t>AC10181</t>
  </si>
  <si>
    <t>AC10182</t>
  </si>
  <si>
    <t>AC10183</t>
  </si>
  <si>
    <t>AC10184</t>
  </si>
  <si>
    <t>AC10185</t>
  </si>
  <si>
    <t>AC10186</t>
  </si>
  <si>
    <t>AC10187</t>
  </si>
  <si>
    <t>AC10188</t>
  </si>
  <si>
    <t>AC10189</t>
  </si>
  <si>
    <t>AC10190</t>
  </si>
  <si>
    <t>AC10191</t>
  </si>
  <si>
    <t>AC10192</t>
  </si>
  <si>
    <t>AC10193</t>
  </si>
  <si>
    <t>AC10194</t>
  </si>
  <si>
    <t>AC10195</t>
  </si>
  <si>
    <t>AC10196</t>
  </si>
  <si>
    <t>AC10197</t>
  </si>
  <si>
    <t>AC10198</t>
  </si>
  <si>
    <t>AC10199</t>
  </si>
  <si>
    <t>AC10200</t>
  </si>
  <si>
    <t>AC10201</t>
  </si>
  <si>
    <t>AC10202</t>
  </si>
  <si>
    <t>AC10203</t>
  </si>
  <si>
    <t>AC10204</t>
  </si>
  <si>
    <t>AC10205</t>
  </si>
  <si>
    <t>AC10206</t>
  </si>
  <si>
    <t>AC10207</t>
  </si>
  <si>
    <t>AC10208</t>
  </si>
  <si>
    <t>AC10209</t>
  </si>
  <si>
    <t>AC10210</t>
  </si>
  <si>
    <t>AC10211</t>
  </si>
  <si>
    <t>AC10212</t>
  </si>
  <si>
    <t>AC10213</t>
  </si>
  <si>
    <t>AC10214</t>
  </si>
  <si>
    <t>AC10215</t>
  </si>
  <si>
    <t>AC10216</t>
  </si>
  <si>
    <t>AC10217</t>
  </si>
  <si>
    <t>AC10218</t>
  </si>
  <si>
    <t>AC10219</t>
  </si>
  <si>
    <t>AC10220</t>
  </si>
  <si>
    <t>AC10221</t>
  </si>
  <si>
    <t>AC10222</t>
  </si>
  <si>
    <t>AC10223</t>
  </si>
  <si>
    <t>AC10224</t>
  </si>
  <si>
    <t>AC10225</t>
  </si>
  <si>
    <t>AC10226</t>
  </si>
  <si>
    <t>AC10227</t>
  </si>
  <si>
    <t>AC10228</t>
  </si>
  <si>
    <t>AC10229</t>
  </si>
  <si>
    <t>AC10230</t>
  </si>
  <si>
    <t>AC10231</t>
  </si>
  <si>
    <t>AC10232</t>
  </si>
  <si>
    <t>AC10233</t>
  </si>
  <si>
    <t>AC10234</t>
  </si>
  <si>
    <t>AC10235</t>
  </si>
  <si>
    <t>AC10236</t>
  </si>
  <si>
    <t>AC10237</t>
  </si>
  <si>
    <t>AC10238</t>
  </si>
  <si>
    <t>AC10239</t>
  </si>
  <si>
    <t>AC10240</t>
  </si>
  <si>
    <t>AC10241</t>
  </si>
  <si>
    <t>AC10242</t>
  </si>
  <si>
    <t>AC10243</t>
  </si>
  <si>
    <t>AC10244</t>
  </si>
  <si>
    <t>AC10245</t>
  </si>
  <si>
    <t>AC10246</t>
  </si>
  <si>
    <t>AC10247</t>
  </si>
  <si>
    <t>AC10248</t>
  </si>
  <si>
    <t>AC10249</t>
  </si>
  <si>
    <t>AC10250</t>
  </si>
  <si>
    <t>AC10251</t>
  </si>
  <si>
    <t>AC10252</t>
  </si>
  <si>
    <t>AC10253</t>
  </si>
  <si>
    <t>AC10254</t>
  </si>
  <si>
    <t>AC10255</t>
  </si>
  <si>
    <t>AC10256</t>
  </si>
  <si>
    <t>AC10257</t>
  </si>
  <si>
    <t>AC10258</t>
  </si>
  <si>
    <t>AC10259</t>
  </si>
  <si>
    <t>AC10260</t>
  </si>
  <si>
    <t>AC10261</t>
  </si>
  <si>
    <t>AC10262</t>
  </si>
  <si>
    <t>AC10263</t>
  </si>
  <si>
    <t>AC10264</t>
  </si>
  <si>
    <t>AC10265</t>
  </si>
  <si>
    <t>AC10266</t>
  </si>
  <si>
    <t>AC10267</t>
  </si>
  <si>
    <t>AC10268</t>
  </si>
  <si>
    <t>AC10269</t>
  </si>
  <si>
    <t>AC10270</t>
  </si>
  <si>
    <t>AC10271</t>
  </si>
  <si>
    <t>AC10272</t>
  </si>
  <si>
    <t>AC10273</t>
  </si>
  <si>
    <t>AC10274</t>
  </si>
  <si>
    <t>AC10275</t>
  </si>
  <si>
    <t>AC10276</t>
  </si>
  <si>
    <t>AC10277</t>
  </si>
  <si>
    <t>AC10278</t>
  </si>
  <si>
    <t>AC10279</t>
  </si>
  <si>
    <t>AC10280</t>
  </si>
  <si>
    <t>AC10281</t>
  </si>
  <si>
    <t>AC10282</t>
  </si>
  <si>
    <t>AC10283</t>
  </si>
  <si>
    <t>AC10284</t>
  </si>
  <si>
    <t>AC10285</t>
  </si>
  <si>
    <t>Direccion</t>
  </si>
  <si>
    <t>+593 98 468 9682</t>
  </si>
  <si>
    <t>Aide Sanchez</t>
  </si>
  <si>
    <t>099 368 9246</t>
  </si>
  <si>
    <t>Alba Molina</t>
  </si>
  <si>
    <t>+593 99 925 6087</t>
  </si>
  <si>
    <t>Alex Mora</t>
  </si>
  <si>
    <t>+593 96 013 0120</t>
  </si>
  <si>
    <t>AN3studio</t>
  </si>
  <si>
    <t>+593 98 551 2681</t>
  </si>
  <si>
    <t>Andrea Oviedo</t>
  </si>
  <si>
    <t>093 904 4261</t>
  </si>
  <si>
    <t>Andrea Torres</t>
  </si>
  <si>
    <t>+593 99 474 3948</t>
  </si>
  <si>
    <t>Angel Bustamante</t>
  </si>
  <si>
    <t>Angelita Pacheco</t>
  </si>
  <si>
    <t>+593 99 212 0508</t>
  </si>
  <si>
    <t>Angelita Zhamunghi</t>
  </si>
  <si>
    <t>099 323 0443</t>
  </si>
  <si>
    <t>657558</t>
  </si>
  <si>
    <t>Bety Montalván</t>
  </si>
  <si>
    <t>098 011 7283</t>
  </si>
  <si>
    <t>Blanca Jumbo</t>
  </si>
  <si>
    <t>099 330 8710</t>
  </si>
  <si>
    <t>Brit Villa 221</t>
  </si>
  <si>
    <t>+593 98 864 2968</t>
  </si>
  <si>
    <t>Buca</t>
  </si>
  <si>
    <t>Canario</t>
  </si>
  <si>
    <t>098 067 8686</t>
  </si>
  <si>
    <t>Carlos Real 🥰</t>
  </si>
  <si>
    <t>+593 98 587 2422</t>
  </si>
  <si>
    <t>Carmen 9 De Diciembre</t>
  </si>
  <si>
    <t>+593 96 990 2251</t>
  </si>
  <si>
    <t>Carmen Sanchez</t>
  </si>
  <si>
    <t>+593 93 999 9874</t>
  </si>
  <si>
    <t>Carmita Luna</t>
  </si>
  <si>
    <t>+593 99 057 6356</t>
  </si>
  <si>
    <t>Carolina Churro</t>
  </si>
  <si>
    <t>Carolina Silva</t>
  </si>
  <si>
    <t>+593 98 364 9092</t>
  </si>
  <si>
    <t>Cinthia BBT CACPE</t>
  </si>
  <si>
    <t>+593 99 731 7035</t>
  </si>
  <si>
    <t>Cliente 14</t>
  </si>
  <si>
    <t>Cliente Boletos</t>
  </si>
  <si>
    <t>+57 301 5745505</t>
  </si>
  <si>
    <t>Cristian Martinez</t>
  </si>
  <si>
    <t>098 204 2577</t>
  </si>
  <si>
    <t>Danna Paola Alvear</t>
  </si>
  <si>
    <t>+593 98 592 0870</t>
  </si>
  <si>
    <t>Darwin sexo</t>
  </si>
  <si>
    <t>098 554 7814</t>
  </si>
  <si>
    <t>Diana Jumbo Algarrobillo</t>
  </si>
  <si>
    <t>+593 99 099 7071</t>
  </si>
  <si>
    <t>Diana Torres Granda</t>
  </si>
  <si>
    <t>+593 98 267 2846</t>
  </si>
  <si>
    <t>Diego Ramon</t>
  </si>
  <si>
    <t>+593 98 510 2328</t>
  </si>
  <si>
    <t>Dolores Cabrera</t>
  </si>
  <si>
    <t>+593 96 924 4056</t>
  </si>
  <si>
    <t>2649042</t>
  </si>
  <si>
    <t>Don Delgado</t>
  </si>
  <si>
    <t>+593 98 129 4706</t>
  </si>
  <si>
    <t>Dra Raquel Panchana</t>
  </si>
  <si>
    <t>+593 93 925 0411</t>
  </si>
  <si>
    <t>Eddy Rodriguez</t>
  </si>
  <si>
    <t>+593 99 173 0939</t>
  </si>
  <si>
    <t>Edgar Campoverde</t>
  </si>
  <si>
    <t>Elvia Sanmartin</t>
  </si>
  <si>
    <t>+593 99 948 7330</t>
  </si>
  <si>
    <t>Empaqplast 2</t>
  </si>
  <si>
    <t>098 351 0374</t>
  </si>
  <si>
    <t>Enma Guaicha</t>
  </si>
  <si>
    <t>098 575 3757</t>
  </si>
  <si>
    <t>Franklin Ranbay</t>
  </si>
  <si>
    <t>+593 98 858 4036</t>
  </si>
  <si>
    <t>Fundas embalaje</t>
  </si>
  <si>
    <t>+593991405284</t>
  </si>
  <si>
    <t>Gaby Torres</t>
  </si>
  <si>
    <t>+593 96 301 4585</t>
  </si>
  <si>
    <t>Gonzalo Mereci 👷🏻‍♂️</t>
  </si>
  <si>
    <t>+593 96 818 6304</t>
  </si>
  <si>
    <t>Harry Ordoñez</t>
  </si>
  <si>
    <t>097 978 3492</t>
  </si>
  <si>
    <t>Ismael Cruz</t>
  </si>
  <si>
    <t>+593 98 513 7259</t>
  </si>
  <si>
    <t>Italo Alvarez</t>
  </si>
  <si>
    <t>+593 99 409 8421</t>
  </si>
  <si>
    <t>𝙅𝙚𝙖𝙢𝙥𝙞𝙚𝙧 Albear</t>
  </si>
  <si>
    <t>+593 99 302 5600</t>
  </si>
  <si>
    <t>Jenny Pulluguari</t>
  </si>
  <si>
    <t>+593 99 701 6563</t>
  </si>
  <si>
    <t>Jenny Reyes</t>
  </si>
  <si>
    <t>098 122 6363</t>
  </si>
  <si>
    <t>Joe Torres</t>
  </si>
  <si>
    <t>+593 99 334 5753</t>
  </si>
  <si>
    <t>Johana Sandoya</t>
  </si>
  <si>
    <t>+593 98 348 3200</t>
  </si>
  <si>
    <t>Jorge Sánchez Sabanilla</t>
  </si>
  <si>
    <t>+593 93 978 4514</t>
  </si>
  <si>
    <t>José Chamba</t>
  </si>
  <si>
    <t>+593 99 131 7278</t>
  </si>
  <si>
    <t>Juan Cárdenas</t>
  </si>
  <si>
    <t>Julio Bustamante</t>
  </si>
  <si>
    <t>095 918 5231</t>
  </si>
  <si>
    <t>Kevin Mera</t>
  </si>
  <si>
    <t>+593 99 499 2896</t>
  </si>
  <si>
    <t>Kristi Cauro</t>
  </si>
  <si>
    <t>+593 98 458 0907</t>
  </si>
  <si>
    <t>Kristie Cauro 2</t>
  </si>
  <si>
    <t>+593 98 725 6943</t>
  </si>
  <si>
    <t>Leodan Jumbo</t>
  </si>
  <si>
    <t>098 149 3376</t>
  </si>
  <si>
    <t>Liliana Tandazo</t>
  </si>
  <si>
    <t>+593 99 450 3272</t>
  </si>
  <si>
    <t>Lolita Poma</t>
  </si>
  <si>
    <t>+593 99 720 9143</t>
  </si>
  <si>
    <t>Lorgia Jumbo Tienda Amazonas</t>
  </si>
  <si>
    <t>+593 99 221 0750</t>
  </si>
  <si>
    <t>+593 96 077 4784</t>
  </si>
  <si>
    <t>Luis Ordoñez</t>
  </si>
  <si>
    <t>+593 98 003 0779</t>
  </si>
  <si>
    <t>Manuel Jaya JC</t>
  </si>
  <si>
    <t>+593 96 185 4605</t>
  </si>
  <si>
    <t>Manuel Jumbo</t>
  </si>
  <si>
    <t>099 775 9832</t>
  </si>
  <si>
    <t>Marco Bustamante</t>
  </si>
  <si>
    <t>+593 98 521 2515</t>
  </si>
  <si>
    <t>Margarita Jumbo</t>
  </si>
  <si>
    <t>+593 98 977 4164</t>
  </si>
  <si>
    <t>Maria Espinoza</t>
  </si>
  <si>
    <t>+593 99 306 9187</t>
  </si>
  <si>
    <t>María José Bustamante Día</t>
  </si>
  <si>
    <t>+593 96 273 9270</t>
  </si>
  <si>
    <t>María Vera</t>
  </si>
  <si>
    <t>+593 99 708 7578</t>
  </si>
  <si>
    <t>Marilu Vallejo</t>
  </si>
  <si>
    <t>099 719 1879</t>
  </si>
  <si>
    <t>Maritza Quezada</t>
  </si>
  <si>
    <t>+593 96 707 7120</t>
  </si>
  <si>
    <t>Mishell Ludeña</t>
  </si>
  <si>
    <t>+593 98 085 2412</t>
  </si>
  <si>
    <t>Montalvan</t>
  </si>
  <si>
    <t>+593 99 709 8058</t>
  </si>
  <si>
    <t>Mueblería Reina Del Cisne</t>
  </si>
  <si>
    <t>+593 96 764 5352</t>
  </si>
  <si>
    <t>Nely Torres</t>
  </si>
  <si>
    <t>+593 98 998 3496</t>
  </si>
  <si>
    <t>NOVEDADES Y VARIEDADES MLK</t>
  </si>
  <si>
    <t>+593 98 475 1927</t>
  </si>
  <si>
    <t>Olga Chavez</t>
  </si>
  <si>
    <t>Olga Garcia</t>
  </si>
  <si>
    <t>+593 96 704 5711</t>
  </si>
  <si>
    <t>Omar Martínez</t>
  </si>
  <si>
    <t>+593 98 181 5645</t>
  </si>
  <si>
    <t>Oscar Guaycha</t>
  </si>
  <si>
    <t>07 265-7227</t>
  </si>
  <si>
    <t>Paquita Torres</t>
  </si>
  <si>
    <t>+593 98 003 7236</t>
  </si>
  <si>
    <t>+593 99 916 6322</t>
  </si>
  <si>
    <t>Patricia Bustamante</t>
  </si>
  <si>
    <t>+593 99 490 1168</t>
  </si>
  <si>
    <t>Paul Campoverde</t>
  </si>
  <si>
    <t>098 004 2679</t>
  </si>
  <si>
    <t>Pirulo</t>
  </si>
  <si>
    <t>099 240 6674</t>
  </si>
  <si>
    <t>Raquel Espinoza</t>
  </si>
  <si>
    <t>+593 99 657 6995</t>
  </si>
  <si>
    <t>Rinconcito Celicano</t>
  </si>
  <si>
    <t>Rosa Ordoñez</t>
  </si>
  <si>
    <t>+593 99 741 2464</t>
  </si>
  <si>
    <t>Rosario Chamba</t>
  </si>
  <si>
    <t>+593 99 023 3188 ::: +593 93 908 7860</t>
  </si>
  <si>
    <t>Sargento Vallejo V</t>
  </si>
  <si>
    <t>+593 99 394 2296</t>
  </si>
  <si>
    <t>Segundo Reyes</t>
  </si>
  <si>
    <t>+593 98 079 4732</t>
  </si>
  <si>
    <t>Stefania Vallejo</t>
  </si>
  <si>
    <t>093 904 3212</t>
  </si>
  <si>
    <t>Tarquino Orbe</t>
  </si>
  <si>
    <t>+593 98 363 2940</t>
  </si>
  <si>
    <t>Transupaltense</t>
  </si>
  <si>
    <t>099 482 8789</t>
  </si>
  <si>
    <t>Uriel Cardenas</t>
  </si>
  <si>
    <t>+593 95 868 7379</t>
  </si>
  <si>
    <t>Vicente Roman</t>
  </si>
  <si>
    <t>+593 99 024 8181</t>
  </si>
  <si>
    <t>Villa 104 Benavides</t>
  </si>
  <si>
    <t>+593 99 623 7797</t>
  </si>
  <si>
    <t>Villa 108</t>
  </si>
  <si>
    <t>+593 98 753 5690</t>
  </si>
  <si>
    <t>Villa 206</t>
  </si>
  <si>
    <t>099 742 1295</t>
  </si>
  <si>
    <t>Villa 223</t>
  </si>
  <si>
    <t>+593 99 664 0041</t>
  </si>
  <si>
    <t>Villa 225</t>
  </si>
  <si>
    <t>+593 98 809 3369</t>
  </si>
  <si>
    <t>098 831 8372 ::: +593 98 045 2483 ::: +593 98 617 8575</t>
  </si>
  <si>
    <t>0985784371 ::: +593 96 157 6234</t>
  </si>
  <si>
    <t>Villa 228 Cabo Puentestar</t>
  </si>
  <si>
    <t>+593 99 140 7723</t>
  </si>
  <si>
    <t>Villa 244</t>
  </si>
  <si>
    <t>+593 98 487 2991</t>
  </si>
  <si>
    <t>Ximena De Rogel</t>
  </si>
  <si>
    <t>+593 98 847 6968</t>
  </si>
  <si>
    <t>Ya del Borrero</t>
  </si>
  <si>
    <t>+593 99 309 5392</t>
  </si>
  <si>
    <t>Yajaira Real</t>
  </si>
  <si>
    <t>+593 96 021 8890</t>
  </si>
  <si>
    <t>Yojana Becerra</t>
  </si>
  <si>
    <t>+593 99 982 0641</t>
  </si>
  <si>
    <t>Yolanda Cabrera</t>
  </si>
  <si>
    <t>+593 96 991 6491</t>
  </si>
  <si>
    <t>9 de diciembre de 2022</t>
  </si>
  <si>
    <t>AC10286</t>
  </si>
  <si>
    <t>AC10287</t>
  </si>
  <si>
    <t>AC10289</t>
  </si>
  <si>
    <t>AC10290</t>
  </si>
  <si>
    <t>AC10291</t>
  </si>
  <si>
    <t>AC10293</t>
  </si>
  <si>
    <t>AC10294</t>
  </si>
  <si>
    <t>AC10295</t>
  </si>
  <si>
    <t>AC10296</t>
  </si>
  <si>
    <t>AC10297</t>
  </si>
  <si>
    <t>AC10298</t>
  </si>
  <si>
    <t>AC10299</t>
  </si>
  <si>
    <t>AC10300</t>
  </si>
  <si>
    <t>AC10301</t>
  </si>
  <si>
    <t>AC10302</t>
  </si>
  <si>
    <t>AC10303</t>
  </si>
  <si>
    <t>AC10304</t>
  </si>
  <si>
    <t>AC10305</t>
  </si>
  <si>
    <t>AC10306</t>
  </si>
  <si>
    <t>AC10307</t>
  </si>
  <si>
    <t>AC10308</t>
  </si>
  <si>
    <t>AC10309</t>
  </si>
  <si>
    <t>AC10310</t>
  </si>
  <si>
    <t>AC10311</t>
  </si>
  <si>
    <t>AC10312</t>
  </si>
  <si>
    <t>AC10313</t>
  </si>
  <si>
    <t>AC10314</t>
  </si>
  <si>
    <t>AC10315</t>
  </si>
  <si>
    <t>AC10316</t>
  </si>
  <si>
    <t>AC10317</t>
  </si>
  <si>
    <t>AC10318</t>
  </si>
  <si>
    <t>AC10319</t>
  </si>
  <si>
    <t>AC10320</t>
  </si>
  <si>
    <t>AC10321</t>
  </si>
  <si>
    <t>AC10322</t>
  </si>
  <si>
    <t>AC10323</t>
  </si>
  <si>
    <t>AC10324</t>
  </si>
  <si>
    <t>AC10325</t>
  </si>
  <si>
    <t>AC10326</t>
  </si>
  <si>
    <t>AC10327</t>
  </si>
  <si>
    <t>AC10328</t>
  </si>
  <si>
    <t>AC10329</t>
  </si>
  <si>
    <t>AC10330</t>
  </si>
  <si>
    <t>AC10331</t>
  </si>
  <si>
    <t>AC10332</t>
  </si>
  <si>
    <t>AC10333</t>
  </si>
  <si>
    <t>AC10334</t>
  </si>
  <si>
    <t>AC10335</t>
  </si>
  <si>
    <t>AC10336</t>
  </si>
  <si>
    <t>AC10337</t>
  </si>
  <si>
    <t>AC10338</t>
  </si>
  <si>
    <t>AC10339</t>
  </si>
  <si>
    <t>AC10340</t>
  </si>
  <si>
    <t>AC10341</t>
  </si>
  <si>
    <t>AC10342</t>
  </si>
  <si>
    <t>AC10343</t>
  </si>
  <si>
    <t>AC10344</t>
  </si>
  <si>
    <t>AC10345</t>
  </si>
  <si>
    <t>AC10346</t>
  </si>
  <si>
    <t>AC10347</t>
  </si>
  <si>
    <t>AC10348</t>
  </si>
  <si>
    <t>AC10349</t>
  </si>
  <si>
    <t>AC10350</t>
  </si>
  <si>
    <t>AC10351</t>
  </si>
  <si>
    <t>AC10352</t>
  </si>
  <si>
    <t>AC10353</t>
  </si>
  <si>
    <t>AC10354</t>
  </si>
  <si>
    <t>AC10355</t>
  </si>
  <si>
    <t>AC10356</t>
  </si>
  <si>
    <t>AC10357</t>
  </si>
  <si>
    <t>AC10358</t>
  </si>
  <si>
    <t>AC10359</t>
  </si>
  <si>
    <t>AC10360</t>
  </si>
  <si>
    <t>AC10361</t>
  </si>
  <si>
    <t>AC10362</t>
  </si>
  <si>
    <t>AC10363</t>
  </si>
  <si>
    <t>AC10364</t>
  </si>
  <si>
    <t>AC10365</t>
  </si>
  <si>
    <t>AC10366</t>
  </si>
  <si>
    <t>AC10367</t>
  </si>
  <si>
    <t>AC10368</t>
  </si>
  <si>
    <t>AC10369</t>
  </si>
  <si>
    <t>AC10370</t>
  </si>
  <si>
    <t>AC10371</t>
  </si>
  <si>
    <t>AC10372</t>
  </si>
  <si>
    <t>AC10373</t>
  </si>
  <si>
    <t>AC10374</t>
  </si>
  <si>
    <t>AC10375</t>
  </si>
  <si>
    <t>AC10376</t>
  </si>
  <si>
    <t>AC10377</t>
  </si>
  <si>
    <t>AC10378</t>
  </si>
  <si>
    <t>AC10379</t>
  </si>
  <si>
    <t>AC10380</t>
  </si>
  <si>
    <t>Jeanpier Albear</t>
  </si>
  <si>
    <t>-4.10324350709653, -79.95557487052358</t>
  </si>
  <si>
    <t>-4.100388920851322, -79.95733708184613</t>
  </si>
  <si>
    <t>-4.106812407594483, -79.95313012645737</t>
  </si>
  <si>
    <t>-4.105031214071018, -79.9548744573462</t>
  </si>
  <si>
    <t xml:space="preserve"> </t>
  </si>
  <si>
    <t>-4.102956618388297, -79.95662721646568</t>
  </si>
  <si>
    <t>-4.101815024402959, -79.95795682727332</t>
  </si>
  <si>
    <t>-4.100536567036624, -79.9579695518886</t>
  </si>
  <si>
    <t>-4.102865050109161, -79.95843810834357</t>
  </si>
  <si>
    <t>-4.100362309992132, -79.95595182739584</t>
  </si>
  <si>
    <t>-4.098267327845029, -79.9579948345824</t>
  </si>
  <si>
    <t>593996143398</t>
  </si>
  <si>
    <t>-4.0988762276965796, -79.95727979819371</t>
  </si>
  <si>
    <t>-4.098952261756817, -79.95970345770799</t>
  </si>
  <si>
    <t>-4.101081939279308, -79.95787402135987</t>
  </si>
  <si>
    <t>-4.112621580186613, -79.953951587958</t>
  </si>
  <si>
    <t>-4.104226987852402, -79.95751294268854</t>
  </si>
  <si>
    <t>-4.104335320936672, -79.95754009559501</t>
  </si>
  <si>
    <t>-4.10325435830889, -79.95708034117884</t>
  </si>
  <si>
    <t>-4.100584241286108, -79.95960595265916</t>
  </si>
  <si>
    <t>-4.103839573812561, -79.95593424168736</t>
  </si>
  <si>
    <t>-4.10403591833981, -79.95824364676206</t>
  </si>
  <si>
    <t>-4.103650618107754, -79.9543323392294</t>
  </si>
  <si>
    <t>-4.107487977431372, -79.9539088100774</t>
  </si>
  <si>
    <t>-4.101760840885796, -79.95537225807838</t>
  </si>
  <si>
    <t>-4.103405688101991, -79.9543895783145</t>
  </si>
  <si>
    <t>-4.108125631538255, -79.95403469898493</t>
  </si>
  <si>
    <t>-4.103438253019314, -79.95490983354263</t>
  </si>
  <si>
    <t>-4.098273283384028, -79.95780646334963</t>
  </si>
  <si>
    <t>-4.104297229732908, -79.95804819808629</t>
  </si>
  <si>
    <t>-4.104426402218651, -79.95712708773279</t>
  </si>
  <si>
    <t>-4.102803706929868, -79.95618221937251</t>
  </si>
  <si>
    <t>-4.1056210792303895, -79.95574892891614</t>
  </si>
  <si>
    <t>-4.102946558599325, -79.95547279318325</t>
  </si>
  <si>
    <t>-4.103271686552543, -79.9566682607841</t>
  </si>
  <si>
    <t>-4.111207067011717, -79.95371098819442</t>
  </si>
  <si>
    <t>-4.107796548757942, -79.95433222188795</t>
  </si>
  <si>
    <t>-4.107105610383114, -79.95333934094138</t>
  </si>
  <si>
    <t>-4.10228833546052, -79.95733029629832</t>
  </si>
  <si>
    <t>-4.102761256123276, -79.95582304462314</t>
  </si>
  <si>
    <t>Clientes con ubicacion</t>
  </si>
  <si>
    <t>Porcentaje de actualizacio de direcciones</t>
  </si>
  <si>
    <t>1.Inserte tabla nueva con numero y telefono</t>
  </si>
  <si>
    <t>2. Numero de cliente</t>
  </si>
  <si>
    <t>Tabla 2 Actual</t>
  </si>
  <si>
    <t>5 de Septiembre</t>
  </si>
  <si>
    <t>9 de Diciembre</t>
  </si>
  <si>
    <t>Centenario</t>
  </si>
  <si>
    <t>Central</t>
  </si>
  <si>
    <t>Defensa Civil</t>
  </si>
  <si>
    <t>Los Pinos</t>
  </si>
  <si>
    <t>La Union</t>
  </si>
  <si>
    <t>Amazonas</t>
  </si>
  <si>
    <t>Sucre</t>
  </si>
  <si>
    <t>San Vicente</t>
  </si>
  <si>
    <t>Confraternidad</t>
  </si>
  <si>
    <t>Reina del Cisne</t>
  </si>
  <si>
    <t>Barrios</t>
  </si>
  <si>
    <t>Bario</t>
  </si>
  <si>
    <t>Sin direccion</t>
  </si>
  <si>
    <t>Reina del Rosario</t>
  </si>
  <si>
    <r>
      <t>La Uni</t>
    </r>
    <r>
      <rPr>
        <i/>
        <sz val="11"/>
        <color theme="1"/>
        <rFont val="Calibri"/>
        <family val="2"/>
        <scheme val="minor"/>
      </rPr>
      <t>on</t>
    </r>
  </si>
  <si>
    <t>id</t>
  </si>
  <si>
    <t>nombre</t>
  </si>
  <si>
    <t>celular</t>
  </si>
  <si>
    <t>lat</t>
  </si>
  <si>
    <t>lng</t>
  </si>
  <si>
    <t>direccion</t>
  </si>
  <si>
    <t>estado</t>
  </si>
  <si>
    <t>vendidos</t>
  </si>
  <si>
    <t>pedidos</t>
  </si>
  <si>
    <t>fecha</t>
  </si>
  <si>
    <t>idpedidos</t>
  </si>
  <si>
    <t>nota</t>
  </si>
  <si>
    <t>Column1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</si>
  <si>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</si>
  <si>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</si>
  <si>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</si>
  <si>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</si>
  <si>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</si>
  <si>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</si>
  <si>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</si>
  <si>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</si>
  <si>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</si>
  <si>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Organization 1 - Type</t>
  </si>
  <si>
    <t>Organization 1 - Name</t>
  </si>
  <si>
    <t>Organization 1 - Yomi Name</t>
  </si>
  <si>
    <t>Organization 1 - Title</t>
  </si>
  <si>
    <t>Organization 1 - Department</t>
  </si>
  <si>
    <t>Organization 1 - Symbol</t>
  </si>
  <si>
    <t>Organization 1 - Location</t>
  </si>
  <si>
    <t>Organization 1 - Job Description</t>
  </si>
  <si>
    <t xml:space="preserve">5to B Milenio </t>
  </si>
  <si>
    <t/>
  </si>
  <si>
    <t>Adri Orbe</t>
  </si>
  <si>
    <t>Agustín Sanmartin</t>
  </si>
  <si>
    <t>099 225 4876</t>
  </si>
  <si>
    <t>Alan G</t>
  </si>
  <si>
    <t>+593 96 741 0763</t>
  </si>
  <si>
    <t>unknown</t>
  </si>
  <si>
    <t>Andrea Ordoñez</t>
  </si>
  <si>
    <t>+593 98 858 1486</t>
  </si>
  <si>
    <t>Andrés Gallegos</t>
  </si>
  <si>
    <t>+593 98 739 4616</t>
  </si>
  <si>
    <t>Andrés Ramos</t>
  </si>
  <si>
    <t>+593 98 736 4564</t>
  </si>
  <si>
    <t>Angelita</t>
  </si>
  <si>
    <t>+593 99 322 0443</t>
  </si>
  <si>
    <t>Beto Terminal</t>
  </si>
  <si>
    <t>+593 98 433 0667</t>
  </si>
  <si>
    <t>Betty Andrade</t>
  </si>
  <si>
    <t>+593 99 154 9004</t>
  </si>
  <si>
    <t>Blanca Torres</t>
  </si>
  <si>
    <t>Blanca Zatama 2</t>
  </si>
  <si>
    <t>+593 98 257 3725</t>
  </si>
  <si>
    <t>Canario 2</t>
  </si>
  <si>
    <t>+593 98 653 5237</t>
  </si>
  <si>
    <t>Cecilia Las Palmas</t>
  </si>
  <si>
    <t>099 414 1243</t>
  </si>
  <si>
    <t>Che chi</t>
  </si>
  <si>
    <t>098 129 6768</t>
  </si>
  <si>
    <t>Danilo Villa 218</t>
  </si>
  <si>
    <t>+593 96 294 2064</t>
  </si>
  <si>
    <t>Darwin Rey</t>
  </si>
  <si>
    <t>Don Eras</t>
  </si>
  <si>
    <t>+593 93 939 3504</t>
  </si>
  <si>
    <t>Edgar Yaguachi</t>
  </si>
  <si>
    <t>+593 96 323 7193</t>
  </si>
  <si>
    <t>Eras Pindal Distr</t>
  </si>
  <si>
    <t>Estalin Pindal</t>
  </si>
  <si>
    <t>+593 99 420 1398</t>
  </si>
  <si>
    <t>Estefy Bust.</t>
  </si>
  <si>
    <t>+593 98 092 7918</t>
  </si>
  <si>
    <t>Fernando Bustamante</t>
  </si>
  <si>
    <t>+593 96 769 9873</t>
  </si>
  <si>
    <t>Ferrecuador Eras y Alava</t>
  </si>
  <si>
    <t>+593 99 400 8271</t>
  </si>
  <si>
    <t>Francisco Vera 2</t>
  </si>
  <si>
    <t>+593 99 989 3732</t>
  </si>
  <si>
    <t>Francisco Vera Panadero</t>
  </si>
  <si>
    <t>099 471 7041</t>
  </si>
  <si>
    <t>Hello Pazmiño</t>
  </si>
  <si>
    <t>+593 99 147 4230</t>
  </si>
  <si>
    <t>Italo Alvarez 2</t>
  </si>
  <si>
    <t>+593 99 160 5792</t>
  </si>
  <si>
    <t>Iván Buele</t>
  </si>
  <si>
    <t>+593 99 435 0561</t>
  </si>
  <si>
    <t>Ivan Peralta</t>
  </si>
  <si>
    <t>+593 99 241 3411</t>
  </si>
  <si>
    <t>Jeniffer Reyes</t>
  </si>
  <si>
    <t>+593 95 997 1053</t>
  </si>
  <si>
    <t>Jhoa Chuquimarca</t>
  </si>
  <si>
    <t>+593 99 614 5388</t>
  </si>
  <si>
    <t>Jorge Luna</t>
  </si>
  <si>
    <t>+593 93 915 1797</t>
  </si>
  <si>
    <t>Jorge Sanchez</t>
  </si>
  <si>
    <t>+593 98 689 6812</t>
  </si>
  <si>
    <t>José Atre</t>
  </si>
  <si>
    <t>096 918 6856</t>
  </si>
  <si>
    <t>Juan Diego Flores</t>
  </si>
  <si>
    <t>+593 96 786 6195</t>
  </si>
  <si>
    <t>Lady Villa 106</t>
  </si>
  <si>
    <t>+593 99 782 5053</t>
  </si>
  <si>
    <t>Leiva</t>
  </si>
  <si>
    <t>+593991170750</t>
  </si>
  <si>
    <t>+593990821508</t>
  </si>
  <si>
    <t>Leva</t>
  </si>
  <si>
    <t>+593 95 988 0770</t>
  </si>
  <si>
    <t>Licoreria</t>
  </si>
  <si>
    <t>0998743530</t>
  </si>
  <si>
    <t>Luz Yaguache</t>
  </si>
  <si>
    <t>+593 99 645 8354</t>
  </si>
  <si>
    <t>Maestro Over Gonza</t>
  </si>
  <si>
    <t>098 578 7590</t>
  </si>
  <si>
    <t>Manuela Rodríguez</t>
  </si>
  <si>
    <t>+593 99 981 6711</t>
  </si>
  <si>
    <t>María Elena Zhamumgui 🚗</t>
  </si>
  <si>
    <t>+593 99 402 2025</t>
  </si>
  <si>
    <t>Maria Yaguachi 2</t>
  </si>
  <si>
    <t>+593 98 766 3791</t>
  </si>
  <si>
    <t>Maricruz Camacho</t>
  </si>
  <si>
    <t>+593 98 828 6005</t>
  </si>
  <si>
    <t>Mariela Granda</t>
  </si>
  <si>
    <t>+593 96 802 2671</t>
  </si>
  <si>
    <t>Martita Bustamante</t>
  </si>
  <si>
    <t>+593 99 084 1574</t>
  </si>
  <si>
    <t>Mary Villa 212</t>
  </si>
  <si>
    <t>+593 99 858 8677</t>
  </si>
  <si>
    <t>Mayra García</t>
  </si>
  <si>
    <t>+593 98 198 4111</t>
  </si>
  <si>
    <t>Micromercado01</t>
  </si>
  <si>
    <t>098 187 1625</t>
  </si>
  <si>
    <t>Natalia Zatama</t>
  </si>
  <si>
    <t>+593 98 573 6389</t>
  </si>
  <si>
    <t>Negro Mario Bustamante</t>
  </si>
  <si>
    <t>099 412 3554</t>
  </si>
  <si>
    <t>Nelson &amp; Bodega De Gas</t>
  </si>
  <si>
    <t>+593 99 784 2341</t>
  </si>
  <si>
    <t>Paco Landi</t>
  </si>
  <si>
    <t>098 644 6691</t>
  </si>
  <si>
    <t>Pajarita</t>
  </si>
  <si>
    <t>+593 99 208 2718</t>
  </si>
  <si>
    <t>Villas</t>
  </si>
  <si>
    <t>Pedro Cueva</t>
  </si>
  <si>
    <t>+593 98 806 9510</t>
  </si>
  <si>
    <t>Pedro Vera Chofer M</t>
  </si>
  <si>
    <t>+593 98 887 9113</t>
  </si>
  <si>
    <t>Polo Ramírez</t>
  </si>
  <si>
    <t>098 648 6474</t>
  </si>
  <si>
    <t>Ramiro Jumbo</t>
  </si>
  <si>
    <t>0999413933 ::: 093 966 5260</t>
  </si>
  <si>
    <t>Reinerio Quezada</t>
  </si>
  <si>
    <t>099 388 9519</t>
  </si>
  <si>
    <t>Ricardo Arias</t>
  </si>
  <si>
    <t>+593 99 798 5692</t>
  </si>
  <si>
    <t>Rocío Tienda Reina Del Rosario Mendoza</t>
  </si>
  <si>
    <t>+593 99 452 2126</t>
  </si>
  <si>
    <t>Ronny Arboleda</t>
  </si>
  <si>
    <t>097 930 4359</t>
  </si>
  <si>
    <t>Rosa Campoverde</t>
  </si>
  <si>
    <t>+593 99 416 5394</t>
  </si>
  <si>
    <t>Ruth Piedra Algarrobillo</t>
  </si>
  <si>
    <t>Algarrobillo</t>
  </si>
  <si>
    <t>099 173 2370</t>
  </si>
  <si>
    <t>Ruth Piedra Algarrobillo 2</t>
  </si>
  <si>
    <t>098 068 1930</t>
  </si>
  <si>
    <t>Sandra Herraez</t>
  </si>
  <si>
    <t>099 969 1269</t>
  </si>
  <si>
    <t>Stefanya Ceviche</t>
  </si>
  <si>
    <t>+593 99 118 5272</t>
  </si>
  <si>
    <t>Supercable Celica</t>
  </si>
  <si>
    <t>+593 98 988 7494</t>
  </si>
  <si>
    <t>Tatiana Gálvez Lucarqui</t>
  </si>
  <si>
    <t>098 959 1623</t>
  </si>
  <si>
    <t>Transpaltense Loja</t>
  </si>
  <si>
    <t>098 861 3939</t>
  </si>
  <si>
    <t>UTPL</t>
  </si>
  <si>
    <t>+593 7-370-1444</t>
  </si>
  <si>
    <t>Valeria Gálvez</t>
  </si>
  <si>
    <t>+593 93 984 5352</t>
  </si>
  <si>
    <t>Viche Armijos</t>
  </si>
  <si>
    <t>+593 99 392 7392</t>
  </si>
  <si>
    <t>Victoria Jaramillo</t>
  </si>
  <si>
    <t>+593 98 666 6653</t>
  </si>
  <si>
    <t>Villa 102 Sofia 🌸</t>
  </si>
  <si>
    <t>+593 96 944 4857</t>
  </si>
  <si>
    <t>Villa 2 215</t>
  </si>
  <si>
    <t>Villa 205</t>
  </si>
  <si>
    <t>+593 99 701 3501</t>
  </si>
  <si>
    <t>+593 96 896 6461</t>
  </si>
  <si>
    <t>Villa 219</t>
  </si>
  <si>
    <t>+593 93 968 4686</t>
  </si>
  <si>
    <t>Oh My Can!</t>
  </si>
  <si>
    <t>+593 98 628 4675</t>
  </si>
  <si>
    <t>Villa 227 Carly</t>
  </si>
  <si>
    <t>+593 99 930 9864</t>
  </si>
  <si>
    <t>Carly</t>
  </si>
  <si>
    <t>Villa 233</t>
  </si>
  <si>
    <t>+593 96 025 4291</t>
  </si>
  <si>
    <t>+593 99 113 6160</t>
  </si>
  <si>
    <t>+593 99 107 5041</t>
  </si>
  <si>
    <t>Villa Prima</t>
  </si>
  <si>
    <t>099 067 5961</t>
  </si>
  <si>
    <t>Vinicio Cardenas</t>
  </si>
  <si>
    <t>098 829 6080</t>
  </si>
  <si>
    <t>Violeta Villa 229</t>
  </si>
  <si>
    <t>+593 99 924 1482</t>
  </si>
  <si>
    <t>Viviana Ortiz</t>
  </si>
  <si>
    <t>+593 96 929 3665</t>
  </si>
  <si>
    <t>Adri   Orbe</t>
  </si>
  <si>
    <t>-4.103481601020053, -79.95337204250123</t>
  </si>
  <si>
    <t>-4.101748611272282, -79.95260760377491</t>
  </si>
  <si>
    <t>-4.1034236599970395, -79.9553846535926</t>
  </si>
  <si>
    <t>-4.100418718703744, -79.95732693389192</t>
  </si>
  <si>
    <t>-4.098933824246628, -79.95714877403053</t>
  </si>
  <si>
    <t>-4.10267823201218, -79.95657326130804</t>
  </si>
  <si>
    <t>-4.106207222629045, -79.95473826849154</t>
  </si>
  <si>
    <t>-4.101240577762711, -79.9579800351063</t>
  </si>
  <si>
    <t>-4.098720403030158, -79.95901268557944</t>
  </si>
  <si>
    <t>-4.102153418726806, -79.95737926779425</t>
  </si>
  <si>
    <t>-4.105314500819319, -79.95529736779204</t>
  </si>
  <si>
    <t>-4.10097510886475, -79.95644803545486</t>
  </si>
  <si>
    <t>-4.104978948930652, -79.95490411236871</t>
  </si>
  <si>
    <t>-4.100498369410978, -79.95780814870625</t>
  </si>
  <si>
    <t>-4.098858382470721, -79.95841432793254</t>
  </si>
  <si>
    <t>-4.103416561278307, -79.95444303218541</t>
  </si>
  <si>
    <t>-4.103904925102474, -79.95553687373686</t>
  </si>
  <si>
    <t>-4.102720867039337, -79.95294427013214</t>
  </si>
  <si>
    <t>-4.102403335963554, -79.95648636129765</t>
  </si>
  <si>
    <t>-4.102459518022999, -79.95623959807449</t>
  </si>
  <si>
    <t>-4.1037410031317725, -79.95541884211869</t>
  </si>
  <si>
    <t>-4.105487944736038, -79.95456281090071</t>
  </si>
  <si>
    <t>Alborada</t>
  </si>
  <si>
    <t>-4.103946582107972, -79.95568367674095</t>
  </si>
  <si>
    <t>-4.102713862171585, -79.95838823090615</t>
  </si>
  <si>
    <t>-4.100592318251886, -79.95969983111343</t>
  </si>
  <si>
    <t>-4.104334393452043, -79.95725628901961</t>
  </si>
  <si>
    <t>Cruzpamba</t>
  </si>
  <si>
    <t>Pozul</t>
  </si>
  <si>
    <t>Sabanilla</t>
  </si>
  <si>
    <t>-4.104558909031072, -79.95556150774256</t>
  </si>
  <si>
    <t>-4.101193280337979, -79.95697868478736</t>
  </si>
  <si>
    <t>-4.102766379099811, -79.95633763683466</t>
  </si>
  <si>
    <t>-4.106145673510046, -79.95463305471233</t>
  </si>
  <si>
    <t>-4.1022676153579765, -79.95706716405859</t>
  </si>
  <si>
    <t>-4.104217861191152, -79.95469130084604</t>
  </si>
  <si>
    <t>-4.105349306693438, -79.9547758633161</t>
  </si>
  <si>
    <t>-4.105661637556248, -79.9558517577656</t>
  </si>
  <si>
    <t>-4.1040407282781, -79.95828662530617</t>
  </si>
  <si>
    <t>-4.101847105615814, -79.95256749011857</t>
  </si>
  <si>
    <t>-4.103317289318429, -79.95709561030755</t>
  </si>
  <si>
    <t>-4.105985789051663, -79.95504073261091</t>
  </si>
  <si>
    <t>-4.101756813114653, -79.95538490732288</t>
  </si>
  <si>
    <t>-4.099320845764839, -79.95718552460771</t>
  </si>
  <si>
    <t>-4.098253647254874, -79.95969518925628</t>
  </si>
  <si>
    <t>-4.1034612204125365, -79.95378494728017</t>
  </si>
  <si>
    <t>-4.103415739750218, -79.95440990197592</t>
  </si>
  <si>
    <t>-4.099599013144486, -79.95760604192387</t>
  </si>
  <si>
    <t>-4.10544125950708, -79.95480058240612</t>
  </si>
  <si>
    <t>-4.098883066371723, -79.95854535515672</t>
  </si>
  <si>
    <t>-4.103676816113123, -79.95587508249817</t>
  </si>
  <si>
    <t>-4.101956753059498, -79.9556035193373</t>
  </si>
  <si>
    <t>-4.104926269560125, -79.9558663026545</t>
  </si>
  <si>
    <t>-4.097661664846815, -79.96108618813453</t>
  </si>
  <si>
    <t>-4.104369725726573, -79.95754588450939</t>
  </si>
  <si>
    <t>-4.104362907248524, -79.95715633681314</t>
  </si>
  <si>
    <t>-4.098866108558495, -79.95776959001527</t>
  </si>
  <si>
    <t>-4.10438226698689, -79.95539645850334</t>
  </si>
  <si>
    <t>-4.103234549614035, -79.95554397999436</t>
  </si>
  <si>
    <t>-4.10312218558748, -79.95557348429305</t>
  </si>
  <si>
    <t>-4.106234839220439, -79.95475163959175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</si>
</sst>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9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2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/>
    <xf numFmtId="49" fontId="0" fillId="2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6" fillId="0" borderId="1" xfId="0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left"/>
    </xf>
    <xf numFmtId="49" fontId="0" fillId="0" borderId="1" xfId="0" applyNumberFormat="1" applyBorder="1" applyAlignment="1">
      <alignment horizontal="left"/>
    </xf>
    <xf numFmtId="0" fontId="3" fillId="0" borderId="2" xfId="0" applyFont="1" applyBorder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3" borderId="1" xfId="0" applyFill="1" applyBorder="1"/>
    <xf numFmtId="0" fontId="13" fillId="0" borderId="0" xfId="0" applyFont="1" applyAlignment="1">
      <alignment wrapText="1"/>
    </xf>
    <xf numFmtId="43" fontId="0" fillId="4" borderId="0" xfId="1" applyFont="1" applyFill="1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0" fillId="3" borderId="5" xfId="0" applyFill="1" applyBorder="1"/>
    <xf numFmtId="0" fontId="0" fillId="0" borderId="7" xfId="0" applyBorder="1"/>
    <xf numFmtId="0" fontId="0" fillId="3" borderId="7" xfId="0" applyFill="1" applyBorder="1"/>
    <xf numFmtId="0" fontId="0" fillId="0" borderId="5" xfId="0" applyBorder="1"/>
    <xf numFmtId="0" fontId="0" fillId="0" borderId="2" xfId="0" applyBorder="1"/>
    <xf numFmtId="0" fontId="0" fillId="3" borderId="2" xfId="0" applyFill="1" applyBorder="1"/>
    <xf numFmtId="0" fontId="0" fillId="2" borderId="2" xfId="0" applyFill="1" applyBorder="1"/>
    <xf numFmtId="49" fontId="0" fillId="0" borderId="7" xfId="0" applyNumberFormat="1" applyBorder="1" applyAlignment="1">
      <alignment horizontal="left"/>
    </xf>
    <xf numFmtId="49" fontId="0" fillId="0" borderId="7" xfId="0" applyNumberFormat="1" applyBorder="1"/>
    <xf numFmtId="49" fontId="0" fillId="2" borderId="7" xfId="0" applyNumberFormat="1" applyFill="1" applyBorder="1"/>
    <xf numFmtId="49" fontId="0" fillId="0" borderId="2" xfId="0" applyNumberFormat="1" applyBorder="1"/>
    <xf numFmtId="49" fontId="0" fillId="2" borderId="2" xfId="0" applyNumberForma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14" fillId="0" borderId="3" xfId="2" applyBorder="1" applyAlignment="1">
      <alignment horizontal="center" vertical="center"/>
    </xf>
    <xf numFmtId="0" fontId="14" fillId="0" borderId="6" xfId="2" applyBorder="1" applyAlignment="1">
      <alignment horizontal="center" vertical="center"/>
    </xf>
    <xf numFmtId="0" fontId="14" fillId="0" borderId="4" xfId="2" applyBorder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16">
    <dxf>
      <fill>
        <patternFill>
          <bgColor theme="5" tint="0.39994506668294322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0</xdr:rowOff>
        </xdr:from>
        <xdr:to>
          <xdr:col>4</xdr:col>
          <xdr:colOff>1066800</xdr:colOff>
          <xdr:row>2</xdr:row>
          <xdr:rowOff>167640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IMPORTE LOS NEVOS CONTACTOS A LA TABLA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7FE5082-9EE9-4108-BD19-6C4842EA83C5}" autoFormatId="16" applyNumberFormats="0" applyBorderFormats="0" applyFontFormats="0" applyPatternFormats="0" applyAlignmentFormats="0" applyWidthHeightFormats="0">
  <queryTableRefresh nextId="40">
    <queryTableFields count="10">
      <queryTableField id="1" name="Column1" tableColumnId="1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</queryTableFields>
    <queryTableDeletedFields count="29"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tacts_1" connectionId="3" xr16:uid="{00000000-0016-0000-0000-000000000000}" autoFormatId="16" applyNumberFormats="0" applyBorderFormats="0" applyFontFormats="0" applyPatternFormats="0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7FA27D-E998-4FA2-8862-4D19CC8CD32F}" name="contacts__2" displayName="contacts__2" ref="A1:J442" tableType="queryTable" totalsRowShown="0">
  <autoFilter ref="A1:J442" xr:uid="{127FA27D-E998-4FA2-8862-4D19CC8CD32F}"/>
  <tableColumns count="10">
    <tableColumn id="1" xr3:uid="{94AABD2D-3DF1-4189-9C93-9A8A0129C8CF}" uniqueName="1" name="Column1" queryTableFieldId="1" dataDxfId="15"/>
    <tableColumn id="31" xr3:uid="{AB6875A7-E149-4C0B-9B52-5AA5517CA25B}" uniqueName="31" name="Column31" queryTableFieldId="31" dataDxfId="14"/>
    <tableColumn id="32" xr3:uid="{2D1B6FD2-A909-4859-A681-2BC8704B9BDB}" uniqueName="32" name="Column32" queryTableFieldId="32" dataDxfId="13"/>
    <tableColumn id="33" xr3:uid="{7A408174-7E76-44A2-B96A-589E02D0B642}" uniqueName="33" name="Column33" queryTableFieldId="33" dataDxfId="12"/>
    <tableColumn id="34" xr3:uid="{FEF0E08F-C9FA-44C7-B2F6-A453442E3693}" uniqueName="34" name="Column34" queryTableFieldId="34" dataDxfId="11"/>
    <tableColumn id="35" xr3:uid="{7A0F0F16-89E9-4F02-AD24-68CFADC31C12}" uniqueName="35" name="Column35" queryTableFieldId="35" dataDxfId="10"/>
    <tableColumn id="36" xr3:uid="{4A99DA25-23B2-4F1F-BE4A-13778BDDDFC8}" uniqueName="36" name="Column36" queryTableFieldId="36" dataDxfId="9"/>
    <tableColumn id="37" xr3:uid="{C5297BA4-2201-4D31-81DB-CD53DEED0D72}" uniqueName="37" name="Column37" queryTableFieldId="37" dataDxfId="8"/>
    <tableColumn id="38" xr3:uid="{0F674C84-F753-4B73-AF04-2CD4C5987438}" uniqueName="38" name="Column38" queryTableFieldId="38" dataDxfId="7"/>
    <tableColumn id="39" xr3:uid="{89D32C89-2F87-4794-BE1B-3865716D3062}" uniqueName="39" name="Column39" queryTableFieldId="39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F3:I469" totalsRowShown="0" tableBorderDxfId="5">
  <autoFilter ref="F3:I469" xr:uid="{00000000-0009-0000-0100-000003000000}"/>
  <sortState xmlns:xlrd2="http://schemas.microsoft.com/office/spreadsheetml/2017/richdata2" ref="F4:I469">
    <sortCondition ref="F3:F469"/>
  </sortState>
  <tableColumns count="4">
    <tableColumn id="1" xr3:uid="{00000000-0010-0000-0000-000001000000}" name="nombre" dataDxfId="4"/>
    <tableColumn id="2" xr3:uid="{00000000-0010-0000-0000-000002000000}" name="celular" dataDxfId="3"/>
    <tableColumn id="3" xr3:uid="{00000000-0010-0000-0000-000003000000}" name="ubicación" dataDxfId="2"/>
    <tableColumn id="4" xr3:uid="{00000000-0010-0000-0000-000004000000}" name="Direccion" dataDxfId="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A20" totalsRowShown="0">
  <autoFilter ref="A1:A20" xr:uid="{00000000-0009-0000-0100-000002000000}"/>
  <sortState xmlns:xlrd2="http://schemas.microsoft.com/office/spreadsheetml/2017/richdata2" ref="A2:A16">
    <sortCondition ref="A1:A16"/>
  </sortState>
  <tableColumns count="1">
    <tableColumn id="1" xr3:uid="{00000000-0010-0000-0100-000001000000}" name="Bar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queryTable" Target="../queryTables/query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.com.ec/maps/@-4.1020845,-79.9552024,1044m/data=!3m1!1e3?hl=es-419&amp;authuser=0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5D76-D409-4C37-AA82-03D495B4355D}">
  <dimension ref="A1:J442"/>
  <sheetViews>
    <sheetView workbookViewId="0">
      <selection activeCell="A3" sqref="A3:B442"/>
    </sheetView>
    <sheetView workbookViewId="1"/>
  </sheetViews>
  <sheetFormatPr baseColWidth="10" defaultRowHeight="14.4" x14ac:dyDescent="0.3"/>
  <cols>
    <col min="1" max="1" width="34.77734375" bestFit="1" customWidth="1"/>
    <col min="2" max="2" width="46.33203125" bestFit="1" customWidth="1"/>
    <col min="3" max="3" width="18.33203125" bestFit="1" customWidth="1"/>
    <col min="4" max="4" width="27.77734375" bestFit="1" customWidth="1"/>
    <col min="5" max="5" width="24" bestFit="1" customWidth="1"/>
    <col min="6" max="6" width="18" bestFit="1" customWidth="1"/>
    <col min="7" max="7" width="24.33203125" bestFit="1" customWidth="1"/>
    <col min="8" max="8" width="20.33203125" bestFit="1" customWidth="1"/>
    <col min="9" max="9" width="21.6640625" bestFit="1" customWidth="1"/>
    <col min="10" max="10" width="27.109375" bestFit="1" customWidth="1"/>
  </cols>
  <sheetData>
    <row r="1" spans="1:10" x14ac:dyDescent="0.3">
      <c r="A1" t="s">
        <v>1282</v>
      </c>
      <c r="B1" t="s">
        <v>1283</v>
      </c>
      <c r="C1" t="s">
        <v>1284</v>
      </c>
      <c r="D1" t="s">
        <v>1285</v>
      </c>
      <c r="E1" t="s">
        <v>1286</v>
      </c>
      <c r="F1" t="s">
        <v>1287</v>
      </c>
      <c r="G1" t="s">
        <v>1288</v>
      </c>
      <c r="H1" t="s">
        <v>1289</v>
      </c>
      <c r="I1" t="s">
        <v>1290</v>
      </c>
      <c r="J1" t="s">
        <v>1291</v>
      </c>
    </row>
    <row r="2" spans="1:10" x14ac:dyDescent="0.3">
      <c r="A2" t="s">
        <v>543</v>
      </c>
      <c r="B2" t="s">
        <v>544</v>
      </c>
      <c r="C2" t="s">
        <v>1292</v>
      </c>
      <c r="D2" t="s">
        <v>1293</v>
      </c>
      <c r="E2" t="s">
        <v>1294</v>
      </c>
      <c r="F2" t="s">
        <v>1295</v>
      </c>
      <c r="G2" t="s">
        <v>1296</v>
      </c>
      <c r="H2" t="s">
        <v>1297</v>
      </c>
      <c r="I2" t="s">
        <v>1298</v>
      </c>
      <c r="J2" t="s">
        <v>1299</v>
      </c>
    </row>
    <row r="3" spans="1:10" x14ac:dyDescent="0.3">
      <c r="A3" t="s">
        <v>1300</v>
      </c>
      <c r="B3" t="s">
        <v>902</v>
      </c>
      <c r="C3" t="s">
        <v>1301</v>
      </c>
      <c r="D3" t="s">
        <v>1301</v>
      </c>
      <c r="E3" t="s">
        <v>1301</v>
      </c>
      <c r="F3" t="s">
        <v>1301</v>
      </c>
      <c r="G3" t="s">
        <v>1301</v>
      </c>
      <c r="H3" t="s">
        <v>1301</v>
      </c>
      <c r="I3" t="s">
        <v>1301</v>
      </c>
      <c r="J3" t="s">
        <v>1301</v>
      </c>
    </row>
    <row r="4" spans="1:10" x14ac:dyDescent="0.3">
      <c r="A4" t="s">
        <v>611</v>
      </c>
      <c r="B4" t="s">
        <v>7</v>
      </c>
      <c r="C4" t="s">
        <v>1301</v>
      </c>
      <c r="D4" t="s">
        <v>1301</v>
      </c>
      <c r="E4" t="s">
        <v>1301</v>
      </c>
      <c r="F4" t="s">
        <v>1301</v>
      </c>
      <c r="G4" t="s">
        <v>1301</v>
      </c>
      <c r="H4" t="s">
        <v>1301</v>
      </c>
      <c r="I4" t="s">
        <v>1301</v>
      </c>
      <c r="J4" t="s">
        <v>1301</v>
      </c>
    </row>
    <row r="5" spans="1:10" x14ac:dyDescent="0.3">
      <c r="A5" t="s">
        <v>1302</v>
      </c>
      <c r="B5" t="s">
        <v>0</v>
      </c>
      <c r="C5" t="s">
        <v>1301</v>
      </c>
      <c r="D5" t="s">
        <v>1301</v>
      </c>
      <c r="E5" t="s">
        <v>1301</v>
      </c>
      <c r="F5" t="s">
        <v>1301</v>
      </c>
      <c r="G5" t="s">
        <v>1301</v>
      </c>
      <c r="H5" t="s">
        <v>1301</v>
      </c>
      <c r="I5" t="s">
        <v>1301</v>
      </c>
      <c r="J5" t="s">
        <v>1301</v>
      </c>
    </row>
    <row r="6" spans="1:10" x14ac:dyDescent="0.3">
      <c r="A6" t="s">
        <v>1</v>
      </c>
      <c r="B6" t="s">
        <v>2</v>
      </c>
      <c r="C6" t="s">
        <v>1301</v>
      </c>
      <c r="D6" t="s">
        <v>1301</v>
      </c>
      <c r="E6" t="s">
        <v>1301</v>
      </c>
      <c r="F6" t="s">
        <v>1301</v>
      </c>
      <c r="G6" t="s">
        <v>1301</v>
      </c>
      <c r="H6" t="s">
        <v>1301</v>
      </c>
      <c r="I6" t="s">
        <v>1301</v>
      </c>
      <c r="J6" t="s">
        <v>1301</v>
      </c>
    </row>
    <row r="7" spans="1:10" x14ac:dyDescent="0.3">
      <c r="A7" t="s">
        <v>3</v>
      </c>
      <c r="B7" t="s">
        <v>4</v>
      </c>
      <c r="C7" t="s">
        <v>1301</v>
      </c>
      <c r="D7" t="s">
        <v>1301</v>
      </c>
      <c r="E7" t="s">
        <v>1301</v>
      </c>
      <c r="F7" t="s">
        <v>1301</v>
      </c>
      <c r="G7" t="s">
        <v>1301</v>
      </c>
      <c r="H7" t="s">
        <v>1301</v>
      </c>
      <c r="I7" t="s">
        <v>1301</v>
      </c>
      <c r="J7" t="s">
        <v>1301</v>
      </c>
    </row>
    <row r="8" spans="1:10" x14ac:dyDescent="0.3">
      <c r="A8" t="s">
        <v>5</v>
      </c>
      <c r="B8" t="s">
        <v>6</v>
      </c>
      <c r="C8" t="s">
        <v>1301</v>
      </c>
      <c r="D8" t="s">
        <v>1301</v>
      </c>
      <c r="E8" t="s">
        <v>1301</v>
      </c>
      <c r="F8" t="s">
        <v>1301</v>
      </c>
      <c r="G8" t="s">
        <v>1301</v>
      </c>
      <c r="H8" t="s">
        <v>1301</v>
      </c>
      <c r="I8" t="s">
        <v>1301</v>
      </c>
      <c r="J8" t="s">
        <v>1301</v>
      </c>
    </row>
    <row r="9" spans="1:10" x14ac:dyDescent="0.3">
      <c r="A9" t="s">
        <v>1303</v>
      </c>
      <c r="B9" t="s">
        <v>1304</v>
      </c>
      <c r="C9" t="s">
        <v>1301</v>
      </c>
      <c r="D9" t="s">
        <v>1301</v>
      </c>
      <c r="E9" t="s">
        <v>1301</v>
      </c>
      <c r="F9" t="s">
        <v>1301</v>
      </c>
      <c r="G9" t="s">
        <v>1301</v>
      </c>
      <c r="H9" t="s">
        <v>1301</v>
      </c>
      <c r="I9" t="s">
        <v>1301</v>
      </c>
      <c r="J9" t="s">
        <v>1301</v>
      </c>
    </row>
    <row r="10" spans="1:10" x14ac:dyDescent="0.3">
      <c r="A10" t="s">
        <v>903</v>
      </c>
      <c r="B10" t="s">
        <v>904</v>
      </c>
      <c r="C10" t="s">
        <v>1301</v>
      </c>
      <c r="D10" t="s">
        <v>1301</v>
      </c>
      <c r="E10" t="s">
        <v>1301</v>
      </c>
      <c r="F10" t="s">
        <v>1301</v>
      </c>
      <c r="G10" t="s">
        <v>1301</v>
      </c>
      <c r="H10" t="s">
        <v>1301</v>
      </c>
      <c r="I10" t="s">
        <v>1301</v>
      </c>
      <c r="J10" t="s">
        <v>1301</v>
      </c>
    </row>
    <row r="11" spans="1:10" x14ac:dyDescent="0.3">
      <c r="A11" t="s">
        <v>1305</v>
      </c>
      <c r="B11" t="s">
        <v>1306</v>
      </c>
      <c r="C11" t="s">
        <v>1301</v>
      </c>
      <c r="D11" t="s">
        <v>1301</v>
      </c>
      <c r="E11" t="s">
        <v>1301</v>
      </c>
      <c r="F11" t="s">
        <v>1301</v>
      </c>
      <c r="G11" t="s">
        <v>1301</v>
      </c>
      <c r="H11" t="s">
        <v>1301</v>
      </c>
      <c r="I11" t="s">
        <v>1301</v>
      </c>
      <c r="J11" t="s">
        <v>1301</v>
      </c>
    </row>
    <row r="12" spans="1:10" x14ac:dyDescent="0.3">
      <c r="A12" t="s">
        <v>905</v>
      </c>
      <c r="B12" t="s">
        <v>906</v>
      </c>
      <c r="C12" t="s">
        <v>1301</v>
      </c>
      <c r="D12" t="s">
        <v>1301</v>
      </c>
      <c r="E12" t="s">
        <v>1301</v>
      </c>
      <c r="F12" t="s">
        <v>1301</v>
      </c>
      <c r="G12" t="s">
        <v>1301</v>
      </c>
      <c r="H12" t="s">
        <v>1301</v>
      </c>
      <c r="I12" t="s">
        <v>1301</v>
      </c>
      <c r="J12" t="s">
        <v>1301</v>
      </c>
    </row>
    <row r="13" spans="1:10" x14ac:dyDescent="0.3">
      <c r="A13" t="s">
        <v>8</v>
      </c>
      <c r="B13" t="s">
        <v>9</v>
      </c>
      <c r="C13" t="s">
        <v>1301</v>
      </c>
      <c r="D13" t="s">
        <v>1301</v>
      </c>
      <c r="E13" t="s">
        <v>1301</v>
      </c>
      <c r="F13" t="s">
        <v>1301</v>
      </c>
      <c r="G13" t="s">
        <v>1301</v>
      </c>
      <c r="H13" t="s">
        <v>1301</v>
      </c>
      <c r="I13" t="s">
        <v>1301</v>
      </c>
      <c r="J13" t="s">
        <v>1301</v>
      </c>
    </row>
    <row r="14" spans="1:10" x14ac:dyDescent="0.3">
      <c r="A14" t="s">
        <v>10</v>
      </c>
      <c r="B14" t="s">
        <v>11</v>
      </c>
      <c r="C14" t="s">
        <v>1301</v>
      </c>
      <c r="D14" t="s">
        <v>1301</v>
      </c>
      <c r="E14" t="s">
        <v>1301</v>
      </c>
      <c r="F14" t="s">
        <v>1301</v>
      </c>
      <c r="G14" t="s">
        <v>1301</v>
      </c>
      <c r="H14" t="s">
        <v>1301</v>
      </c>
      <c r="I14" t="s">
        <v>1301</v>
      </c>
      <c r="J14" t="s">
        <v>1301</v>
      </c>
    </row>
    <row r="15" spans="1:10" x14ac:dyDescent="0.3">
      <c r="A15" t="s">
        <v>907</v>
      </c>
      <c r="B15" t="s">
        <v>908</v>
      </c>
      <c r="C15" t="s">
        <v>1301</v>
      </c>
      <c r="D15" t="s">
        <v>1301</v>
      </c>
      <c r="E15" t="s">
        <v>1301</v>
      </c>
      <c r="F15" t="s">
        <v>1301</v>
      </c>
      <c r="G15" t="s">
        <v>1301</v>
      </c>
      <c r="H15" t="s">
        <v>1301</v>
      </c>
      <c r="I15" t="s">
        <v>1301</v>
      </c>
      <c r="J15" t="s">
        <v>1301</v>
      </c>
    </row>
    <row r="16" spans="1:10" x14ac:dyDescent="0.3">
      <c r="A16" t="s">
        <v>545</v>
      </c>
      <c r="B16" t="s">
        <v>546</v>
      </c>
      <c r="C16" t="s">
        <v>1301</v>
      </c>
      <c r="D16" t="s">
        <v>1301</v>
      </c>
      <c r="E16" t="s">
        <v>1301</v>
      </c>
      <c r="F16" t="s">
        <v>1301</v>
      </c>
      <c r="G16" t="s">
        <v>1301</v>
      </c>
      <c r="H16" t="s">
        <v>1301</v>
      </c>
      <c r="I16" t="s">
        <v>1301</v>
      </c>
      <c r="J16" t="s">
        <v>1301</v>
      </c>
    </row>
    <row r="17" spans="1:10" x14ac:dyDescent="0.3">
      <c r="A17" t="s">
        <v>12</v>
      </c>
      <c r="B17" t="s">
        <v>13</v>
      </c>
      <c r="C17" t="s">
        <v>1301</v>
      </c>
      <c r="D17" t="s">
        <v>1301</v>
      </c>
      <c r="E17" t="s">
        <v>1301</v>
      </c>
      <c r="F17" t="s">
        <v>1301</v>
      </c>
      <c r="G17" t="s">
        <v>1301</v>
      </c>
      <c r="H17" t="s">
        <v>1301</v>
      </c>
      <c r="I17" t="s">
        <v>1301</v>
      </c>
      <c r="J17" t="s">
        <v>1301</v>
      </c>
    </row>
    <row r="18" spans="1:10" x14ac:dyDescent="0.3">
      <c r="A18" t="s">
        <v>909</v>
      </c>
      <c r="B18" t="s">
        <v>910</v>
      </c>
      <c r="C18" t="s">
        <v>1307</v>
      </c>
      <c r="D18" t="s">
        <v>909</v>
      </c>
      <c r="E18" t="s">
        <v>1301</v>
      </c>
      <c r="F18" t="s">
        <v>1301</v>
      </c>
      <c r="G18" t="s">
        <v>1301</v>
      </c>
      <c r="H18" t="s">
        <v>1301</v>
      </c>
      <c r="I18" t="s">
        <v>1301</v>
      </c>
      <c r="J18" t="s">
        <v>1301</v>
      </c>
    </row>
    <row r="19" spans="1:10" x14ac:dyDescent="0.3">
      <c r="A19" t="s">
        <v>14</v>
      </c>
      <c r="B19" t="s">
        <v>15</v>
      </c>
      <c r="C19" t="s">
        <v>1301</v>
      </c>
      <c r="D19" t="s">
        <v>1301</v>
      </c>
      <c r="E19" t="s">
        <v>1301</v>
      </c>
      <c r="F19" t="s">
        <v>1301</v>
      </c>
      <c r="G19" t="s">
        <v>1301</v>
      </c>
      <c r="H19" t="s">
        <v>1301</v>
      </c>
      <c r="I19" t="s">
        <v>1301</v>
      </c>
      <c r="J19" t="s">
        <v>1301</v>
      </c>
    </row>
    <row r="20" spans="1:10" x14ac:dyDescent="0.3">
      <c r="A20" t="s">
        <v>1308</v>
      </c>
      <c r="B20" t="s">
        <v>1309</v>
      </c>
      <c r="C20" t="s">
        <v>1301</v>
      </c>
      <c r="D20" t="s">
        <v>1301</v>
      </c>
      <c r="E20" t="s">
        <v>1301</v>
      </c>
      <c r="F20" t="s">
        <v>1301</v>
      </c>
      <c r="G20" t="s">
        <v>1301</v>
      </c>
      <c r="H20" t="s">
        <v>1301</v>
      </c>
      <c r="I20" t="s">
        <v>1301</v>
      </c>
      <c r="J20" t="s">
        <v>1301</v>
      </c>
    </row>
    <row r="21" spans="1:10" x14ac:dyDescent="0.3">
      <c r="A21" t="s">
        <v>911</v>
      </c>
      <c r="B21" t="s">
        <v>912</v>
      </c>
      <c r="C21" t="s">
        <v>1301</v>
      </c>
      <c r="D21" t="s">
        <v>1301</v>
      </c>
      <c r="E21" t="s">
        <v>1301</v>
      </c>
      <c r="F21" t="s">
        <v>1301</v>
      </c>
      <c r="G21" t="s">
        <v>1301</v>
      </c>
      <c r="H21" t="s">
        <v>1301</v>
      </c>
      <c r="I21" t="s">
        <v>1301</v>
      </c>
      <c r="J21" t="s">
        <v>1301</v>
      </c>
    </row>
    <row r="22" spans="1:10" x14ac:dyDescent="0.3">
      <c r="A22" t="s">
        <v>913</v>
      </c>
      <c r="B22" t="s">
        <v>914</v>
      </c>
      <c r="C22" t="s">
        <v>1301</v>
      </c>
      <c r="D22" t="s">
        <v>1301</v>
      </c>
      <c r="E22" t="s">
        <v>1301</v>
      </c>
      <c r="F22" t="s">
        <v>1301</v>
      </c>
      <c r="G22" t="s">
        <v>1301</v>
      </c>
      <c r="H22" t="s">
        <v>1301</v>
      </c>
      <c r="I22" t="s">
        <v>1301</v>
      </c>
      <c r="J22" t="s">
        <v>1301</v>
      </c>
    </row>
    <row r="23" spans="1:10" x14ac:dyDescent="0.3">
      <c r="A23" t="s">
        <v>1310</v>
      </c>
      <c r="B23" t="s">
        <v>1311</v>
      </c>
      <c r="C23" t="s">
        <v>1301</v>
      </c>
      <c r="D23" t="s">
        <v>1301</v>
      </c>
      <c r="E23" t="s">
        <v>1301</v>
      </c>
      <c r="F23" t="s">
        <v>1301</v>
      </c>
      <c r="G23" t="s">
        <v>1301</v>
      </c>
      <c r="H23" t="s">
        <v>1301</v>
      </c>
      <c r="I23" t="s">
        <v>1301</v>
      </c>
      <c r="J23" t="s">
        <v>1301</v>
      </c>
    </row>
    <row r="24" spans="1:10" x14ac:dyDescent="0.3">
      <c r="A24" t="s">
        <v>1312</v>
      </c>
      <c r="B24" t="s">
        <v>1313</v>
      </c>
      <c r="C24" t="s">
        <v>1301</v>
      </c>
      <c r="D24" t="s">
        <v>1301</v>
      </c>
      <c r="E24" t="s">
        <v>1301</v>
      </c>
      <c r="F24" t="s">
        <v>1301</v>
      </c>
      <c r="G24" t="s">
        <v>1301</v>
      </c>
      <c r="H24" t="s">
        <v>1301</v>
      </c>
      <c r="I24" t="s">
        <v>1301</v>
      </c>
      <c r="J24" t="s">
        <v>1301</v>
      </c>
    </row>
    <row r="25" spans="1:10" x14ac:dyDescent="0.3">
      <c r="A25" t="s">
        <v>547</v>
      </c>
      <c r="B25" t="s">
        <v>548</v>
      </c>
      <c r="C25" t="s">
        <v>1301</v>
      </c>
      <c r="D25" t="s">
        <v>1301</v>
      </c>
      <c r="E25" t="s">
        <v>1301</v>
      </c>
      <c r="F25" t="s">
        <v>1301</v>
      </c>
      <c r="G25" t="s">
        <v>1301</v>
      </c>
      <c r="H25" t="s">
        <v>1301</v>
      </c>
      <c r="I25" t="s">
        <v>1301</v>
      </c>
      <c r="J25" t="s">
        <v>1301</v>
      </c>
    </row>
    <row r="26" spans="1:10" x14ac:dyDescent="0.3">
      <c r="A26" t="s">
        <v>915</v>
      </c>
      <c r="B26" t="s">
        <v>555</v>
      </c>
      <c r="C26" t="s">
        <v>1301</v>
      </c>
      <c r="D26" t="s">
        <v>1301</v>
      </c>
      <c r="E26" t="s">
        <v>1301</v>
      </c>
      <c r="F26" t="s">
        <v>1301</v>
      </c>
      <c r="G26" t="s">
        <v>1301</v>
      </c>
      <c r="H26" t="s">
        <v>1301</v>
      </c>
      <c r="I26" t="s">
        <v>1301</v>
      </c>
      <c r="J26" t="s">
        <v>1301</v>
      </c>
    </row>
    <row r="27" spans="1:10" x14ac:dyDescent="0.3">
      <c r="A27" t="s">
        <v>16</v>
      </c>
      <c r="B27" t="s">
        <v>17</v>
      </c>
      <c r="C27" t="s">
        <v>1301</v>
      </c>
      <c r="D27" t="s">
        <v>1301</v>
      </c>
      <c r="E27" t="s">
        <v>1301</v>
      </c>
      <c r="F27" t="s">
        <v>1301</v>
      </c>
      <c r="G27" t="s">
        <v>1301</v>
      </c>
      <c r="H27" t="s">
        <v>1301</v>
      </c>
      <c r="I27" t="s">
        <v>1301</v>
      </c>
      <c r="J27" t="s">
        <v>1301</v>
      </c>
    </row>
    <row r="28" spans="1:10" x14ac:dyDescent="0.3">
      <c r="A28" t="s">
        <v>1314</v>
      </c>
      <c r="B28" t="s">
        <v>1315</v>
      </c>
      <c r="C28" t="s">
        <v>1301</v>
      </c>
      <c r="D28" t="s">
        <v>1301</v>
      </c>
      <c r="E28" t="s">
        <v>1301</v>
      </c>
      <c r="F28" t="s">
        <v>1301</v>
      </c>
      <c r="G28" t="s">
        <v>1301</v>
      </c>
      <c r="H28" t="s">
        <v>1301</v>
      </c>
      <c r="I28" t="s">
        <v>1301</v>
      </c>
      <c r="J28" t="s">
        <v>1301</v>
      </c>
    </row>
    <row r="29" spans="1:10" x14ac:dyDescent="0.3">
      <c r="A29" t="s">
        <v>916</v>
      </c>
      <c r="B29" t="s">
        <v>917</v>
      </c>
      <c r="C29" t="s">
        <v>1301</v>
      </c>
      <c r="D29" t="s">
        <v>1301</v>
      </c>
      <c r="E29" t="s">
        <v>1301</v>
      </c>
      <c r="F29" t="s">
        <v>1301</v>
      </c>
      <c r="G29" t="s">
        <v>1301</v>
      </c>
      <c r="H29" t="s">
        <v>1301</v>
      </c>
      <c r="I29" t="s">
        <v>1301</v>
      </c>
      <c r="J29" t="s">
        <v>1301</v>
      </c>
    </row>
    <row r="30" spans="1:10" x14ac:dyDescent="0.3">
      <c r="A30" t="s">
        <v>918</v>
      </c>
      <c r="B30" t="s">
        <v>919</v>
      </c>
      <c r="C30" t="s">
        <v>1301</v>
      </c>
      <c r="D30" t="s">
        <v>1301</v>
      </c>
      <c r="E30" t="s">
        <v>1301</v>
      </c>
      <c r="F30" t="s">
        <v>1301</v>
      </c>
      <c r="G30" t="s">
        <v>1301</v>
      </c>
      <c r="H30" t="s">
        <v>1301</v>
      </c>
      <c r="I30" t="s">
        <v>1301</v>
      </c>
      <c r="J30" t="s">
        <v>1301</v>
      </c>
    </row>
    <row r="31" spans="1:10" x14ac:dyDescent="0.3">
      <c r="A31" t="s">
        <v>18</v>
      </c>
      <c r="B31" t="s">
        <v>19</v>
      </c>
      <c r="C31" t="s">
        <v>1301</v>
      </c>
      <c r="D31" t="s">
        <v>1301</v>
      </c>
      <c r="E31" t="s">
        <v>1301</v>
      </c>
      <c r="F31" t="s">
        <v>1301</v>
      </c>
      <c r="G31" t="s">
        <v>1301</v>
      </c>
      <c r="H31" t="s">
        <v>1301</v>
      </c>
      <c r="I31" t="s">
        <v>1301</v>
      </c>
      <c r="J31" t="s">
        <v>1301</v>
      </c>
    </row>
    <row r="32" spans="1:10" x14ac:dyDescent="0.3">
      <c r="A32" t="s">
        <v>20</v>
      </c>
      <c r="B32" t="s">
        <v>920</v>
      </c>
      <c r="C32" t="s">
        <v>1301</v>
      </c>
      <c r="D32" t="s">
        <v>1301</v>
      </c>
      <c r="E32" t="s">
        <v>1301</v>
      </c>
      <c r="F32" t="s">
        <v>1301</v>
      </c>
      <c r="G32" t="s">
        <v>1301</v>
      </c>
      <c r="H32" t="s">
        <v>1301</v>
      </c>
      <c r="I32" t="s">
        <v>1301</v>
      </c>
      <c r="J32" t="s">
        <v>1301</v>
      </c>
    </row>
    <row r="33" spans="1:10" x14ac:dyDescent="0.3">
      <c r="A33" t="s">
        <v>549</v>
      </c>
      <c r="B33" t="s">
        <v>550</v>
      </c>
      <c r="C33" t="s">
        <v>1301</v>
      </c>
      <c r="D33" t="s">
        <v>1301</v>
      </c>
      <c r="E33" t="s">
        <v>1301</v>
      </c>
      <c r="F33" t="s">
        <v>1301</v>
      </c>
      <c r="G33" t="s">
        <v>1301</v>
      </c>
      <c r="H33" t="s">
        <v>1301</v>
      </c>
      <c r="I33" t="s">
        <v>1301</v>
      </c>
      <c r="J33" t="s">
        <v>1301</v>
      </c>
    </row>
    <row r="34" spans="1:10" x14ac:dyDescent="0.3">
      <c r="A34" t="s">
        <v>21</v>
      </c>
      <c r="B34" t="s">
        <v>22</v>
      </c>
      <c r="C34" t="s">
        <v>1301</v>
      </c>
      <c r="D34" t="s">
        <v>1301</v>
      </c>
      <c r="E34" t="s">
        <v>1301</v>
      </c>
      <c r="F34" t="s">
        <v>1301</v>
      </c>
      <c r="G34" t="s">
        <v>1301</v>
      </c>
      <c r="H34" t="s">
        <v>1301</v>
      </c>
      <c r="I34" t="s">
        <v>1301</v>
      </c>
      <c r="J34" t="s">
        <v>1301</v>
      </c>
    </row>
    <row r="35" spans="1:10" x14ac:dyDescent="0.3">
      <c r="A35" t="s">
        <v>23</v>
      </c>
      <c r="B35" t="s">
        <v>24</v>
      </c>
      <c r="C35" t="s">
        <v>1301</v>
      </c>
      <c r="D35" t="s">
        <v>1301</v>
      </c>
      <c r="E35" t="s">
        <v>1301</v>
      </c>
      <c r="F35" t="s">
        <v>1301</v>
      </c>
      <c r="G35" t="s">
        <v>1301</v>
      </c>
      <c r="H35" t="s">
        <v>1301</v>
      </c>
      <c r="I35" t="s">
        <v>1301</v>
      </c>
      <c r="J35" t="s">
        <v>1301</v>
      </c>
    </row>
    <row r="36" spans="1:10" x14ac:dyDescent="0.3">
      <c r="A36" t="s">
        <v>25</v>
      </c>
      <c r="B36" t="s">
        <v>26</v>
      </c>
      <c r="C36" t="s">
        <v>1301</v>
      </c>
      <c r="D36" t="s">
        <v>1301</v>
      </c>
      <c r="E36" t="s">
        <v>1301</v>
      </c>
      <c r="F36" t="s">
        <v>1301</v>
      </c>
      <c r="G36" t="s">
        <v>1301</v>
      </c>
      <c r="H36" t="s">
        <v>1301</v>
      </c>
      <c r="I36" t="s">
        <v>1301</v>
      </c>
      <c r="J36" t="s">
        <v>1301</v>
      </c>
    </row>
    <row r="37" spans="1:10" x14ac:dyDescent="0.3">
      <c r="A37" t="s">
        <v>27</v>
      </c>
      <c r="B37" t="s">
        <v>28</v>
      </c>
      <c r="C37" t="s">
        <v>1301</v>
      </c>
      <c r="D37" t="s">
        <v>1301</v>
      </c>
      <c r="E37" t="s">
        <v>1301</v>
      </c>
      <c r="F37" t="s">
        <v>1301</v>
      </c>
      <c r="G37" t="s">
        <v>1301</v>
      </c>
      <c r="H37" t="s">
        <v>1301</v>
      </c>
      <c r="I37" t="s">
        <v>1301</v>
      </c>
      <c r="J37" t="s">
        <v>1301</v>
      </c>
    </row>
    <row r="38" spans="1:10" x14ac:dyDescent="0.3">
      <c r="A38" t="s">
        <v>29</v>
      </c>
      <c r="B38" t="s">
        <v>30</v>
      </c>
      <c r="C38" t="s">
        <v>1301</v>
      </c>
      <c r="D38" t="s">
        <v>1301</v>
      </c>
      <c r="E38" t="s">
        <v>1301</v>
      </c>
      <c r="F38" t="s">
        <v>1301</v>
      </c>
      <c r="G38" t="s">
        <v>1301</v>
      </c>
      <c r="H38" t="s">
        <v>1301</v>
      </c>
      <c r="I38" t="s">
        <v>1301</v>
      </c>
      <c r="J38" t="s">
        <v>1301</v>
      </c>
    </row>
    <row r="39" spans="1:10" x14ac:dyDescent="0.3">
      <c r="A39" t="s">
        <v>31</v>
      </c>
      <c r="B39" t="s">
        <v>32</v>
      </c>
      <c r="C39" t="s">
        <v>1301</v>
      </c>
      <c r="D39" t="s">
        <v>1301</v>
      </c>
      <c r="E39" t="s">
        <v>1301</v>
      </c>
      <c r="F39" t="s">
        <v>1301</v>
      </c>
      <c r="G39" t="s">
        <v>1301</v>
      </c>
      <c r="H39" t="s">
        <v>1301</v>
      </c>
      <c r="I39" t="s">
        <v>1301</v>
      </c>
      <c r="J39" t="s">
        <v>1301</v>
      </c>
    </row>
    <row r="40" spans="1:10" x14ac:dyDescent="0.3">
      <c r="A40" t="s">
        <v>33</v>
      </c>
      <c r="B40" t="s">
        <v>34</v>
      </c>
      <c r="C40" t="s">
        <v>1301</v>
      </c>
      <c r="D40" t="s">
        <v>1301</v>
      </c>
      <c r="E40" t="s">
        <v>1301</v>
      </c>
      <c r="F40" t="s">
        <v>1301</v>
      </c>
      <c r="G40" t="s">
        <v>1301</v>
      </c>
      <c r="H40" t="s">
        <v>1301</v>
      </c>
      <c r="I40" t="s">
        <v>1301</v>
      </c>
      <c r="J40" t="s">
        <v>1301</v>
      </c>
    </row>
    <row r="41" spans="1:10" x14ac:dyDescent="0.3">
      <c r="A41" t="s">
        <v>35</v>
      </c>
      <c r="B41" t="s">
        <v>551</v>
      </c>
      <c r="C41" t="s">
        <v>1301</v>
      </c>
      <c r="D41" t="s">
        <v>1301</v>
      </c>
      <c r="E41" t="s">
        <v>1301</v>
      </c>
      <c r="F41" t="s">
        <v>1301</v>
      </c>
      <c r="G41" t="s">
        <v>1301</v>
      </c>
      <c r="H41" t="s">
        <v>1301</v>
      </c>
      <c r="I41" t="s">
        <v>1301</v>
      </c>
      <c r="J41" t="s">
        <v>1301</v>
      </c>
    </row>
    <row r="42" spans="1:10" x14ac:dyDescent="0.3">
      <c r="A42" t="s">
        <v>36</v>
      </c>
      <c r="B42" t="s">
        <v>37</v>
      </c>
      <c r="C42" t="s">
        <v>1301</v>
      </c>
      <c r="D42" t="s">
        <v>1301</v>
      </c>
      <c r="E42" t="s">
        <v>1301</v>
      </c>
      <c r="F42" t="s">
        <v>1301</v>
      </c>
      <c r="G42" t="s">
        <v>1301</v>
      </c>
      <c r="H42" t="s">
        <v>1301</v>
      </c>
      <c r="I42" t="s">
        <v>1301</v>
      </c>
      <c r="J42" t="s">
        <v>1301</v>
      </c>
    </row>
    <row r="43" spans="1:10" x14ac:dyDescent="0.3">
      <c r="A43" t="s">
        <v>38</v>
      </c>
      <c r="B43" t="s">
        <v>39</v>
      </c>
      <c r="C43" t="s">
        <v>1301</v>
      </c>
      <c r="D43" t="s">
        <v>1301</v>
      </c>
      <c r="E43" t="s">
        <v>1301</v>
      </c>
      <c r="F43" t="s">
        <v>1301</v>
      </c>
      <c r="G43" t="s">
        <v>1301</v>
      </c>
      <c r="H43" t="s">
        <v>1301</v>
      </c>
      <c r="I43" t="s">
        <v>1301</v>
      </c>
      <c r="J43" t="s">
        <v>1301</v>
      </c>
    </row>
    <row r="44" spans="1:10" x14ac:dyDescent="0.3">
      <c r="A44" t="s">
        <v>1316</v>
      </c>
      <c r="B44" t="s">
        <v>1317</v>
      </c>
      <c r="C44" t="s">
        <v>1301</v>
      </c>
      <c r="D44" t="s">
        <v>1301</v>
      </c>
      <c r="E44" t="s">
        <v>1301</v>
      </c>
      <c r="F44" t="s">
        <v>1301</v>
      </c>
      <c r="G44" t="s">
        <v>1301</v>
      </c>
      <c r="H44" t="s">
        <v>1301</v>
      </c>
      <c r="I44" t="s">
        <v>1301</v>
      </c>
      <c r="J44" t="s">
        <v>1301</v>
      </c>
    </row>
    <row r="45" spans="1:10" x14ac:dyDescent="0.3">
      <c r="A45" t="s">
        <v>1318</v>
      </c>
      <c r="B45" t="s">
        <v>1319</v>
      </c>
      <c r="C45" t="s">
        <v>1301</v>
      </c>
      <c r="D45" t="s">
        <v>1301</v>
      </c>
      <c r="E45" t="s">
        <v>1301</v>
      </c>
      <c r="F45" t="s">
        <v>1301</v>
      </c>
      <c r="G45" t="s">
        <v>1301</v>
      </c>
      <c r="H45" t="s">
        <v>1301</v>
      </c>
      <c r="I45" t="s">
        <v>1301</v>
      </c>
      <c r="J45" t="s">
        <v>1301</v>
      </c>
    </row>
    <row r="46" spans="1:10" x14ac:dyDescent="0.3">
      <c r="A46" t="s">
        <v>921</v>
      </c>
      <c r="B46" t="s">
        <v>922</v>
      </c>
      <c r="C46" t="s">
        <v>1301</v>
      </c>
      <c r="D46" t="s">
        <v>1301</v>
      </c>
      <c r="E46" t="s">
        <v>1301</v>
      </c>
      <c r="F46" t="s">
        <v>1301</v>
      </c>
      <c r="G46" t="s">
        <v>1301</v>
      </c>
      <c r="H46" t="s">
        <v>1301</v>
      </c>
      <c r="I46" t="s">
        <v>1301</v>
      </c>
      <c r="J46" t="s">
        <v>1301</v>
      </c>
    </row>
    <row r="47" spans="1:10" x14ac:dyDescent="0.3">
      <c r="A47" t="s">
        <v>552</v>
      </c>
      <c r="B47" t="s">
        <v>553</v>
      </c>
      <c r="C47" t="s">
        <v>1301</v>
      </c>
      <c r="D47" t="s">
        <v>1301</v>
      </c>
      <c r="E47" t="s">
        <v>1301</v>
      </c>
      <c r="F47" t="s">
        <v>1301</v>
      </c>
      <c r="G47" t="s">
        <v>1301</v>
      </c>
      <c r="H47" t="s">
        <v>1301</v>
      </c>
      <c r="I47" t="s">
        <v>1301</v>
      </c>
      <c r="J47" t="s">
        <v>1301</v>
      </c>
    </row>
    <row r="48" spans="1:10" x14ac:dyDescent="0.3">
      <c r="A48" t="s">
        <v>923</v>
      </c>
      <c r="B48" t="s">
        <v>924</v>
      </c>
      <c r="C48" t="s">
        <v>1301</v>
      </c>
      <c r="D48" t="s">
        <v>1301</v>
      </c>
      <c r="E48" t="s">
        <v>1301</v>
      </c>
      <c r="F48" t="s">
        <v>1301</v>
      </c>
      <c r="G48" t="s">
        <v>1301</v>
      </c>
      <c r="H48" t="s">
        <v>1301</v>
      </c>
      <c r="I48" t="s">
        <v>1301</v>
      </c>
      <c r="J48" t="s">
        <v>1301</v>
      </c>
    </row>
    <row r="49" spans="1:10" x14ac:dyDescent="0.3">
      <c r="A49" t="s">
        <v>1320</v>
      </c>
      <c r="B49" t="s">
        <v>513</v>
      </c>
      <c r="C49" t="s">
        <v>1301</v>
      </c>
      <c r="D49" t="s">
        <v>1301</v>
      </c>
      <c r="E49" t="s">
        <v>1301</v>
      </c>
      <c r="F49" t="s">
        <v>1301</v>
      </c>
      <c r="G49" t="s">
        <v>1301</v>
      </c>
      <c r="H49" t="s">
        <v>1301</v>
      </c>
      <c r="I49" t="s">
        <v>1301</v>
      </c>
      <c r="J49" t="s">
        <v>1301</v>
      </c>
    </row>
    <row r="50" spans="1:10" x14ac:dyDescent="0.3">
      <c r="A50" t="s">
        <v>40</v>
      </c>
      <c r="B50" t="s">
        <v>41</v>
      </c>
      <c r="C50" t="s">
        <v>1301</v>
      </c>
      <c r="D50" t="s">
        <v>1301</v>
      </c>
      <c r="E50" t="s">
        <v>1301</v>
      </c>
      <c r="F50" t="s">
        <v>1301</v>
      </c>
      <c r="G50" t="s">
        <v>1301</v>
      </c>
      <c r="H50" t="s">
        <v>1301</v>
      </c>
      <c r="I50" t="s">
        <v>1301</v>
      </c>
      <c r="J50" t="s">
        <v>1301</v>
      </c>
    </row>
    <row r="51" spans="1:10" x14ac:dyDescent="0.3">
      <c r="A51" t="s">
        <v>1321</v>
      </c>
      <c r="B51" t="s">
        <v>1322</v>
      </c>
      <c r="C51" t="s">
        <v>1301</v>
      </c>
      <c r="D51" t="s">
        <v>1301</v>
      </c>
      <c r="E51" t="s">
        <v>1301</v>
      </c>
      <c r="F51" t="s">
        <v>1301</v>
      </c>
      <c r="G51" t="s">
        <v>1301</v>
      </c>
      <c r="H51" t="s">
        <v>1301</v>
      </c>
      <c r="I51" t="s">
        <v>1301</v>
      </c>
      <c r="J51" t="s">
        <v>1301</v>
      </c>
    </row>
    <row r="52" spans="1:10" x14ac:dyDescent="0.3">
      <c r="A52" t="s">
        <v>925</v>
      </c>
      <c r="B52" t="s">
        <v>926</v>
      </c>
      <c r="C52" t="s">
        <v>1301</v>
      </c>
      <c r="D52" t="s">
        <v>1301</v>
      </c>
      <c r="E52" t="s">
        <v>1301</v>
      </c>
      <c r="F52" t="s">
        <v>1301</v>
      </c>
      <c r="G52" t="s">
        <v>1301</v>
      </c>
      <c r="H52" t="s">
        <v>1301</v>
      </c>
      <c r="I52" t="s">
        <v>1301</v>
      </c>
      <c r="J52" t="s">
        <v>1301</v>
      </c>
    </row>
    <row r="53" spans="1:10" x14ac:dyDescent="0.3">
      <c r="A53" t="s">
        <v>927</v>
      </c>
      <c r="B53" t="s">
        <v>134</v>
      </c>
      <c r="C53" t="s">
        <v>1301</v>
      </c>
      <c r="D53" t="s">
        <v>1301</v>
      </c>
      <c r="E53" t="s">
        <v>1301</v>
      </c>
      <c r="F53" t="s">
        <v>1301</v>
      </c>
      <c r="G53" t="s">
        <v>1301</v>
      </c>
      <c r="H53" t="s">
        <v>1301</v>
      </c>
      <c r="I53" t="s">
        <v>1301</v>
      </c>
      <c r="J53" t="s">
        <v>1301</v>
      </c>
    </row>
    <row r="54" spans="1:10" x14ac:dyDescent="0.3">
      <c r="A54" t="s">
        <v>42</v>
      </c>
      <c r="B54" t="s">
        <v>43</v>
      </c>
      <c r="C54" t="s">
        <v>1301</v>
      </c>
      <c r="D54" t="s">
        <v>1301</v>
      </c>
      <c r="E54" t="s">
        <v>1301</v>
      </c>
      <c r="F54" t="s">
        <v>1301</v>
      </c>
      <c r="G54" t="s">
        <v>1301</v>
      </c>
      <c r="H54" t="s">
        <v>1301</v>
      </c>
      <c r="I54" t="s">
        <v>1301</v>
      </c>
      <c r="J54" t="s">
        <v>1301</v>
      </c>
    </row>
    <row r="55" spans="1:10" x14ac:dyDescent="0.3">
      <c r="A55" t="s">
        <v>556</v>
      </c>
      <c r="B55" t="s">
        <v>557</v>
      </c>
      <c r="C55" t="s">
        <v>1301</v>
      </c>
      <c r="D55" t="s">
        <v>1301</v>
      </c>
      <c r="E55" t="s">
        <v>1301</v>
      </c>
      <c r="F55" t="s">
        <v>1301</v>
      </c>
      <c r="G55" t="s">
        <v>1301</v>
      </c>
      <c r="H55" t="s">
        <v>1301</v>
      </c>
      <c r="I55" t="s">
        <v>1301</v>
      </c>
      <c r="J55" t="s">
        <v>1301</v>
      </c>
    </row>
    <row r="56" spans="1:10" x14ac:dyDescent="0.3">
      <c r="A56" t="s">
        <v>928</v>
      </c>
      <c r="B56" t="s">
        <v>929</v>
      </c>
      <c r="C56" t="s">
        <v>1301</v>
      </c>
      <c r="D56" t="s">
        <v>1301</v>
      </c>
      <c r="E56" t="s">
        <v>1301</v>
      </c>
      <c r="F56" t="s">
        <v>1301</v>
      </c>
      <c r="G56" t="s">
        <v>1301</v>
      </c>
      <c r="H56" t="s">
        <v>1301</v>
      </c>
      <c r="I56" t="s">
        <v>1301</v>
      </c>
      <c r="J56" t="s">
        <v>1301</v>
      </c>
    </row>
    <row r="57" spans="1:10" x14ac:dyDescent="0.3">
      <c r="A57" t="s">
        <v>1323</v>
      </c>
      <c r="B57" t="s">
        <v>1324</v>
      </c>
      <c r="C57" t="s">
        <v>1301</v>
      </c>
      <c r="D57" t="s">
        <v>1301</v>
      </c>
      <c r="E57" t="s">
        <v>1301</v>
      </c>
      <c r="F57" t="s">
        <v>1301</v>
      </c>
      <c r="G57" t="s">
        <v>1301</v>
      </c>
      <c r="H57" t="s">
        <v>1301</v>
      </c>
      <c r="I57" t="s">
        <v>1301</v>
      </c>
      <c r="J57" t="s">
        <v>1301</v>
      </c>
    </row>
    <row r="58" spans="1:10" x14ac:dyDescent="0.3">
      <c r="A58" t="s">
        <v>558</v>
      </c>
      <c r="B58" t="s">
        <v>559</v>
      </c>
      <c r="C58" t="s">
        <v>1301</v>
      </c>
      <c r="D58" t="s">
        <v>1301</v>
      </c>
      <c r="E58" t="s">
        <v>1301</v>
      </c>
      <c r="F58" t="s">
        <v>1301</v>
      </c>
      <c r="G58" t="s">
        <v>1301</v>
      </c>
      <c r="H58" t="s">
        <v>1301</v>
      </c>
      <c r="I58" t="s">
        <v>1301</v>
      </c>
      <c r="J58" t="s">
        <v>1301</v>
      </c>
    </row>
    <row r="59" spans="1:10" x14ac:dyDescent="0.3">
      <c r="A59" t="s">
        <v>560</v>
      </c>
      <c r="B59" t="s">
        <v>561</v>
      </c>
      <c r="C59" t="s">
        <v>1301</v>
      </c>
      <c r="D59" t="s">
        <v>1301</v>
      </c>
      <c r="E59" t="s">
        <v>1301</v>
      </c>
      <c r="F59" t="s">
        <v>1301</v>
      </c>
      <c r="G59" t="s">
        <v>1301</v>
      </c>
      <c r="H59" t="s">
        <v>1301</v>
      </c>
      <c r="I59" t="s">
        <v>1301</v>
      </c>
      <c r="J59" t="s">
        <v>1301</v>
      </c>
    </row>
    <row r="60" spans="1:10" x14ac:dyDescent="0.3">
      <c r="A60" t="s">
        <v>562</v>
      </c>
      <c r="B60" t="s">
        <v>563</v>
      </c>
      <c r="C60" t="s">
        <v>1301</v>
      </c>
      <c r="D60" t="s">
        <v>1301</v>
      </c>
      <c r="E60" t="s">
        <v>1301</v>
      </c>
      <c r="F60" t="s">
        <v>1301</v>
      </c>
      <c r="G60" t="s">
        <v>1301</v>
      </c>
      <c r="H60" t="s">
        <v>1301</v>
      </c>
      <c r="I60" t="s">
        <v>1301</v>
      </c>
      <c r="J60" t="s">
        <v>1301</v>
      </c>
    </row>
    <row r="61" spans="1:10" x14ac:dyDescent="0.3">
      <c r="A61" t="s">
        <v>930</v>
      </c>
      <c r="B61" t="s">
        <v>931</v>
      </c>
      <c r="C61" t="s">
        <v>1301</v>
      </c>
      <c r="D61" t="s">
        <v>1301</v>
      </c>
      <c r="E61" t="s">
        <v>1301</v>
      </c>
      <c r="F61" t="s">
        <v>1301</v>
      </c>
      <c r="G61" t="s">
        <v>1301</v>
      </c>
      <c r="H61" t="s">
        <v>1301</v>
      </c>
      <c r="I61" t="s">
        <v>1301</v>
      </c>
      <c r="J61" t="s">
        <v>1301</v>
      </c>
    </row>
    <row r="62" spans="1:10" x14ac:dyDescent="0.3">
      <c r="A62" t="s">
        <v>932</v>
      </c>
      <c r="B62" t="s">
        <v>933</v>
      </c>
      <c r="C62" t="s">
        <v>1301</v>
      </c>
      <c r="D62" t="s">
        <v>1301</v>
      </c>
      <c r="E62" t="s">
        <v>1301</v>
      </c>
      <c r="F62" t="s">
        <v>1301</v>
      </c>
      <c r="G62" t="s">
        <v>1301</v>
      </c>
      <c r="H62" t="s">
        <v>1301</v>
      </c>
      <c r="I62" t="s">
        <v>1301</v>
      </c>
      <c r="J62" t="s">
        <v>1301</v>
      </c>
    </row>
    <row r="63" spans="1:10" x14ac:dyDescent="0.3">
      <c r="A63" t="s">
        <v>934</v>
      </c>
      <c r="B63" t="s">
        <v>935</v>
      </c>
      <c r="C63" t="s">
        <v>1301</v>
      </c>
      <c r="D63" t="s">
        <v>1301</v>
      </c>
      <c r="E63" t="s">
        <v>1301</v>
      </c>
      <c r="F63" t="s">
        <v>1301</v>
      </c>
      <c r="G63" t="s">
        <v>1301</v>
      </c>
      <c r="H63" t="s">
        <v>1301</v>
      </c>
      <c r="I63" t="s">
        <v>1301</v>
      </c>
      <c r="J63" t="s">
        <v>1301</v>
      </c>
    </row>
    <row r="64" spans="1:10" x14ac:dyDescent="0.3">
      <c r="A64" t="s">
        <v>44</v>
      </c>
      <c r="B64" t="s">
        <v>45</v>
      </c>
      <c r="C64" t="s">
        <v>1301</v>
      </c>
      <c r="D64" t="s">
        <v>1301</v>
      </c>
      <c r="E64" t="s">
        <v>1301</v>
      </c>
      <c r="F64" t="s">
        <v>1301</v>
      </c>
      <c r="G64" t="s">
        <v>1301</v>
      </c>
      <c r="H64" t="s">
        <v>1301</v>
      </c>
      <c r="I64" t="s">
        <v>1301</v>
      </c>
      <c r="J64" t="s">
        <v>1301</v>
      </c>
    </row>
    <row r="65" spans="1:10" x14ac:dyDescent="0.3">
      <c r="A65" t="s">
        <v>936</v>
      </c>
      <c r="B65" t="s">
        <v>937</v>
      </c>
      <c r="C65" t="s">
        <v>1301</v>
      </c>
      <c r="D65" t="s">
        <v>1301</v>
      </c>
      <c r="E65" t="s">
        <v>1301</v>
      </c>
      <c r="F65" t="s">
        <v>1301</v>
      </c>
      <c r="G65" t="s">
        <v>1301</v>
      </c>
      <c r="H65" t="s">
        <v>1301</v>
      </c>
      <c r="I65" t="s">
        <v>1301</v>
      </c>
      <c r="J65" t="s">
        <v>1301</v>
      </c>
    </row>
    <row r="66" spans="1:10" x14ac:dyDescent="0.3">
      <c r="A66" t="s">
        <v>938</v>
      </c>
      <c r="B66" t="s">
        <v>77</v>
      </c>
      <c r="C66" t="s">
        <v>1301</v>
      </c>
      <c r="D66" t="s">
        <v>1301</v>
      </c>
      <c r="E66" t="s">
        <v>1301</v>
      </c>
      <c r="F66" t="s">
        <v>1301</v>
      </c>
      <c r="G66" t="s">
        <v>1301</v>
      </c>
      <c r="H66" t="s">
        <v>1301</v>
      </c>
      <c r="I66" t="s">
        <v>1301</v>
      </c>
      <c r="J66" t="s">
        <v>1301</v>
      </c>
    </row>
    <row r="67" spans="1:10" x14ac:dyDescent="0.3">
      <c r="A67" t="s">
        <v>939</v>
      </c>
      <c r="B67" t="s">
        <v>940</v>
      </c>
      <c r="C67" t="s">
        <v>1301</v>
      </c>
      <c r="D67" t="s">
        <v>1301</v>
      </c>
      <c r="E67" t="s">
        <v>1301</v>
      </c>
      <c r="F67" t="s">
        <v>1301</v>
      </c>
      <c r="G67" t="s">
        <v>1301</v>
      </c>
      <c r="H67" t="s">
        <v>1301</v>
      </c>
      <c r="I67" t="s">
        <v>1301</v>
      </c>
      <c r="J67" t="s">
        <v>1301</v>
      </c>
    </row>
    <row r="68" spans="1:10" x14ac:dyDescent="0.3">
      <c r="A68" t="s">
        <v>1325</v>
      </c>
      <c r="B68" t="s">
        <v>1326</v>
      </c>
      <c r="C68" t="s">
        <v>1301</v>
      </c>
      <c r="D68" t="s">
        <v>1301</v>
      </c>
      <c r="E68" t="s">
        <v>1301</v>
      </c>
      <c r="F68" t="s">
        <v>1301</v>
      </c>
      <c r="G68" t="s">
        <v>1301</v>
      </c>
      <c r="H68" t="s">
        <v>1301</v>
      </c>
      <c r="I68" t="s">
        <v>1301</v>
      </c>
      <c r="J68" t="s">
        <v>1301</v>
      </c>
    </row>
    <row r="69" spans="1:10" x14ac:dyDescent="0.3">
      <c r="A69" t="s">
        <v>1327</v>
      </c>
      <c r="B69" t="s">
        <v>1328</v>
      </c>
      <c r="C69" t="s">
        <v>1301</v>
      </c>
      <c r="D69" t="s">
        <v>1301</v>
      </c>
      <c r="E69" t="s">
        <v>1301</v>
      </c>
      <c r="F69" t="s">
        <v>1301</v>
      </c>
      <c r="G69" t="s">
        <v>1301</v>
      </c>
      <c r="H69" t="s">
        <v>1301</v>
      </c>
      <c r="I69" t="s">
        <v>1301</v>
      </c>
      <c r="J69" t="s">
        <v>1301</v>
      </c>
    </row>
    <row r="70" spans="1:10" x14ac:dyDescent="0.3">
      <c r="A70" t="s">
        <v>46</v>
      </c>
      <c r="B70" t="s">
        <v>47</v>
      </c>
      <c r="C70" t="s">
        <v>1301</v>
      </c>
      <c r="D70" t="s">
        <v>1301</v>
      </c>
      <c r="E70" t="s">
        <v>1301</v>
      </c>
      <c r="F70" t="s">
        <v>1301</v>
      </c>
      <c r="G70" t="s">
        <v>1301</v>
      </c>
      <c r="H70" t="s">
        <v>1301</v>
      </c>
      <c r="I70" t="s">
        <v>1301</v>
      </c>
      <c r="J70" t="s">
        <v>1301</v>
      </c>
    </row>
    <row r="71" spans="1:10" x14ac:dyDescent="0.3">
      <c r="A71" t="s">
        <v>564</v>
      </c>
      <c r="B71" t="s">
        <v>565</v>
      </c>
      <c r="C71" t="s">
        <v>1301</v>
      </c>
      <c r="D71" t="s">
        <v>1301</v>
      </c>
      <c r="E71" t="s">
        <v>1301</v>
      </c>
      <c r="F71" t="s">
        <v>1301</v>
      </c>
      <c r="G71" t="s">
        <v>1301</v>
      </c>
      <c r="H71" t="s">
        <v>1301</v>
      </c>
      <c r="I71" t="s">
        <v>1301</v>
      </c>
      <c r="J71" t="s">
        <v>1301</v>
      </c>
    </row>
    <row r="72" spans="1:10" x14ac:dyDescent="0.3">
      <c r="A72" t="s">
        <v>48</v>
      </c>
      <c r="B72" t="s">
        <v>49</v>
      </c>
      <c r="C72" t="s">
        <v>1301</v>
      </c>
      <c r="D72" t="s">
        <v>1301</v>
      </c>
      <c r="E72" t="s">
        <v>1301</v>
      </c>
      <c r="F72" t="s">
        <v>1301</v>
      </c>
      <c r="G72" t="s">
        <v>1301</v>
      </c>
      <c r="H72" t="s">
        <v>1301</v>
      </c>
      <c r="I72" t="s">
        <v>1301</v>
      </c>
      <c r="J72" t="s">
        <v>1301</v>
      </c>
    </row>
    <row r="73" spans="1:10" x14ac:dyDescent="0.3">
      <c r="A73" t="s">
        <v>941</v>
      </c>
      <c r="B73" t="s">
        <v>942</v>
      </c>
      <c r="C73" t="s">
        <v>1301</v>
      </c>
      <c r="D73" t="s">
        <v>1301</v>
      </c>
      <c r="E73" t="s">
        <v>1301</v>
      </c>
      <c r="F73" t="s">
        <v>1301</v>
      </c>
      <c r="G73" t="s">
        <v>1301</v>
      </c>
      <c r="H73" t="s">
        <v>1301</v>
      </c>
      <c r="I73" t="s">
        <v>1301</v>
      </c>
      <c r="J73" t="s">
        <v>1301</v>
      </c>
    </row>
    <row r="74" spans="1:10" x14ac:dyDescent="0.3">
      <c r="A74" t="s">
        <v>566</v>
      </c>
      <c r="B74" t="s">
        <v>567</v>
      </c>
      <c r="C74" t="s">
        <v>1301</v>
      </c>
      <c r="D74" t="s">
        <v>1301</v>
      </c>
      <c r="E74" t="s">
        <v>1301</v>
      </c>
      <c r="F74" t="s">
        <v>1301</v>
      </c>
      <c r="G74" t="s">
        <v>1301</v>
      </c>
      <c r="H74" t="s">
        <v>1301</v>
      </c>
      <c r="I74" t="s">
        <v>1301</v>
      </c>
      <c r="J74" t="s">
        <v>1301</v>
      </c>
    </row>
    <row r="75" spans="1:10" x14ac:dyDescent="0.3">
      <c r="A75" t="s">
        <v>52</v>
      </c>
      <c r="B75" t="s">
        <v>53</v>
      </c>
      <c r="C75" t="s">
        <v>1301</v>
      </c>
      <c r="D75" t="s">
        <v>1301</v>
      </c>
      <c r="E75" t="s">
        <v>1301</v>
      </c>
      <c r="F75" t="s">
        <v>1301</v>
      </c>
      <c r="G75" t="s">
        <v>1301</v>
      </c>
      <c r="H75" t="s">
        <v>1301</v>
      </c>
      <c r="I75" t="s">
        <v>1301</v>
      </c>
      <c r="J75" t="s">
        <v>1301</v>
      </c>
    </row>
    <row r="76" spans="1:10" x14ac:dyDescent="0.3">
      <c r="A76" t="s">
        <v>54</v>
      </c>
      <c r="B76" t="s">
        <v>55</v>
      </c>
      <c r="C76" t="s">
        <v>1301</v>
      </c>
      <c r="D76" t="s">
        <v>1301</v>
      </c>
      <c r="E76" t="s">
        <v>1301</v>
      </c>
      <c r="F76" t="s">
        <v>1301</v>
      </c>
      <c r="G76" t="s">
        <v>1301</v>
      </c>
      <c r="H76" t="s">
        <v>1301</v>
      </c>
      <c r="I76" t="s">
        <v>1301</v>
      </c>
      <c r="J76" t="s">
        <v>1301</v>
      </c>
    </row>
    <row r="77" spans="1:10" x14ac:dyDescent="0.3">
      <c r="A77" t="s">
        <v>56</v>
      </c>
      <c r="B77" t="s">
        <v>57</v>
      </c>
      <c r="C77" t="s">
        <v>1301</v>
      </c>
      <c r="D77" t="s">
        <v>1301</v>
      </c>
      <c r="E77" t="s">
        <v>1301</v>
      </c>
      <c r="F77" t="s">
        <v>1301</v>
      </c>
      <c r="G77" t="s">
        <v>1301</v>
      </c>
      <c r="H77" t="s">
        <v>1301</v>
      </c>
      <c r="I77" t="s">
        <v>1301</v>
      </c>
      <c r="J77" t="s">
        <v>1301</v>
      </c>
    </row>
    <row r="78" spans="1:10" x14ac:dyDescent="0.3">
      <c r="A78" t="s">
        <v>58</v>
      </c>
      <c r="B78" t="s">
        <v>59</v>
      </c>
      <c r="C78" t="s">
        <v>1301</v>
      </c>
      <c r="D78" t="s">
        <v>1301</v>
      </c>
      <c r="E78" t="s">
        <v>1301</v>
      </c>
      <c r="F78" t="s">
        <v>1301</v>
      </c>
      <c r="G78" t="s">
        <v>1301</v>
      </c>
      <c r="H78" t="s">
        <v>1301</v>
      </c>
      <c r="I78" t="s">
        <v>1301</v>
      </c>
      <c r="J78" t="s">
        <v>1301</v>
      </c>
    </row>
    <row r="79" spans="1:10" x14ac:dyDescent="0.3">
      <c r="A79" t="s">
        <v>62</v>
      </c>
      <c r="B79" t="s">
        <v>63</v>
      </c>
      <c r="C79" t="s">
        <v>1301</v>
      </c>
      <c r="D79" t="s">
        <v>1301</v>
      </c>
      <c r="E79" t="s">
        <v>1301</v>
      </c>
      <c r="F79" t="s">
        <v>1301</v>
      </c>
      <c r="G79" t="s">
        <v>1301</v>
      </c>
      <c r="H79" t="s">
        <v>1301</v>
      </c>
      <c r="I79" t="s">
        <v>1301</v>
      </c>
      <c r="J79" t="s">
        <v>1301</v>
      </c>
    </row>
    <row r="80" spans="1:10" x14ac:dyDescent="0.3">
      <c r="A80" t="s">
        <v>70</v>
      </c>
      <c r="B80" t="s">
        <v>71</v>
      </c>
      <c r="C80" t="s">
        <v>1301</v>
      </c>
      <c r="D80" t="s">
        <v>1301</v>
      </c>
      <c r="E80" t="s">
        <v>1301</v>
      </c>
      <c r="F80" t="s">
        <v>1301</v>
      </c>
      <c r="G80" t="s">
        <v>1301</v>
      </c>
      <c r="H80" t="s">
        <v>1301</v>
      </c>
      <c r="I80" t="s">
        <v>1301</v>
      </c>
      <c r="J80" t="s">
        <v>1301</v>
      </c>
    </row>
    <row r="81" spans="1:10" x14ac:dyDescent="0.3">
      <c r="A81" t="s">
        <v>72</v>
      </c>
      <c r="B81" t="s">
        <v>73</v>
      </c>
      <c r="C81" t="s">
        <v>1301</v>
      </c>
      <c r="D81" t="s">
        <v>1301</v>
      </c>
      <c r="E81" t="s">
        <v>1301</v>
      </c>
      <c r="F81" t="s">
        <v>1301</v>
      </c>
      <c r="G81" t="s">
        <v>1301</v>
      </c>
      <c r="H81" t="s">
        <v>1301</v>
      </c>
      <c r="I81" t="s">
        <v>1301</v>
      </c>
      <c r="J81" t="s">
        <v>1301</v>
      </c>
    </row>
    <row r="82" spans="1:10" x14ac:dyDescent="0.3">
      <c r="A82" t="s">
        <v>74</v>
      </c>
      <c r="B82" t="s">
        <v>75</v>
      </c>
      <c r="C82" t="s">
        <v>1301</v>
      </c>
      <c r="D82" t="s">
        <v>1301</v>
      </c>
      <c r="E82" t="s">
        <v>1301</v>
      </c>
      <c r="F82" t="s">
        <v>1301</v>
      </c>
      <c r="G82" t="s">
        <v>1301</v>
      </c>
      <c r="H82" t="s">
        <v>1301</v>
      </c>
      <c r="I82" t="s">
        <v>1301</v>
      </c>
      <c r="J82" t="s">
        <v>1301</v>
      </c>
    </row>
    <row r="83" spans="1:10" x14ac:dyDescent="0.3">
      <c r="A83" t="s">
        <v>943</v>
      </c>
      <c r="B83" t="s">
        <v>99</v>
      </c>
      <c r="C83" t="s">
        <v>1301</v>
      </c>
      <c r="D83" t="s">
        <v>1301</v>
      </c>
      <c r="E83" t="s">
        <v>1301</v>
      </c>
      <c r="F83" t="s">
        <v>1301</v>
      </c>
      <c r="G83" t="s">
        <v>1301</v>
      </c>
      <c r="H83" t="s">
        <v>1301</v>
      </c>
      <c r="I83" t="s">
        <v>1301</v>
      </c>
      <c r="J83" t="s">
        <v>1301</v>
      </c>
    </row>
    <row r="84" spans="1:10" x14ac:dyDescent="0.3">
      <c r="A84" t="s">
        <v>78</v>
      </c>
      <c r="B84" t="s">
        <v>79</v>
      </c>
      <c r="C84" t="s">
        <v>1301</v>
      </c>
      <c r="D84" t="s">
        <v>1301</v>
      </c>
      <c r="E84" t="s">
        <v>1301</v>
      </c>
      <c r="F84" t="s">
        <v>1301</v>
      </c>
      <c r="G84" t="s">
        <v>1301</v>
      </c>
      <c r="H84" t="s">
        <v>1301</v>
      </c>
      <c r="I84" t="s">
        <v>1301</v>
      </c>
      <c r="J84" t="s">
        <v>1301</v>
      </c>
    </row>
    <row r="85" spans="1:10" x14ac:dyDescent="0.3">
      <c r="A85" t="s">
        <v>80</v>
      </c>
      <c r="B85" t="s">
        <v>81</v>
      </c>
      <c r="C85" t="s">
        <v>1301</v>
      </c>
      <c r="D85" t="s">
        <v>1301</v>
      </c>
      <c r="E85" t="s">
        <v>1301</v>
      </c>
      <c r="F85" t="s">
        <v>1301</v>
      </c>
      <c r="G85" t="s">
        <v>1301</v>
      </c>
      <c r="H85" t="s">
        <v>1301</v>
      </c>
      <c r="I85" t="s">
        <v>1301</v>
      </c>
      <c r="J85" t="s">
        <v>1301</v>
      </c>
    </row>
    <row r="86" spans="1:10" x14ac:dyDescent="0.3">
      <c r="A86" t="s">
        <v>82</v>
      </c>
      <c r="B86" t="s">
        <v>83</v>
      </c>
      <c r="C86" t="s">
        <v>1301</v>
      </c>
      <c r="D86" t="s">
        <v>1301</v>
      </c>
      <c r="E86" t="s">
        <v>1301</v>
      </c>
      <c r="F86" t="s">
        <v>1301</v>
      </c>
      <c r="G86" t="s">
        <v>1301</v>
      </c>
      <c r="H86" t="s">
        <v>1301</v>
      </c>
      <c r="I86" t="s">
        <v>1301</v>
      </c>
      <c r="J86" t="s">
        <v>1301</v>
      </c>
    </row>
    <row r="87" spans="1:10" x14ac:dyDescent="0.3">
      <c r="A87" t="s">
        <v>84</v>
      </c>
      <c r="B87" t="s">
        <v>85</v>
      </c>
      <c r="C87" t="s">
        <v>1301</v>
      </c>
      <c r="D87" t="s">
        <v>1301</v>
      </c>
      <c r="E87" t="s">
        <v>1301</v>
      </c>
      <c r="F87" t="s">
        <v>1301</v>
      </c>
      <c r="G87" t="s">
        <v>1301</v>
      </c>
      <c r="H87" t="s">
        <v>1301</v>
      </c>
      <c r="I87" t="s">
        <v>1301</v>
      </c>
      <c r="J87" t="s">
        <v>1301</v>
      </c>
    </row>
    <row r="88" spans="1:10" x14ac:dyDescent="0.3">
      <c r="A88" t="s">
        <v>86</v>
      </c>
      <c r="B88" t="s">
        <v>87</v>
      </c>
      <c r="C88" t="s">
        <v>1301</v>
      </c>
      <c r="D88" t="s">
        <v>1301</v>
      </c>
      <c r="E88" t="s">
        <v>1301</v>
      </c>
      <c r="F88" t="s">
        <v>1301</v>
      </c>
      <c r="G88" t="s">
        <v>1301</v>
      </c>
      <c r="H88" t="s">
        <v>1301</v>
      </c>
      <c r="I88" t="s">
        <v>1301</v>
      </c>
      <c r="J88" t="s">
        <v>1301</v>
      </c>
    </row>
    <row r="89" spans="1:10" x14ac:dyDescent="0.3">
      <c r="A89" t="s">
        <v>88</v>
      </c>
      <c r="B89" t="s">
        <v>89</v>
      </c>
      <c r="C89" t="s">
        <v>1301</v>
      </c>
      <c r="D89" t="s">
        <v>1301</v>
      </c>
      <c r="E89" t="s">
        <v>1301</v>
      </c>
      <c r="F89" t="s">
        <v>1301</v>
      </c>
      <c r="G89" t="s">
        <v>1301</v>
      </c>
      <c r="H89" t="s">
        <v>1301</v>
      </c>
      <c r="I89" t="s">
        <v>1301</v>
      </c>
      <c r="J89" t="s">
        <v>1301</v>
      </c>
    </row>
    <row r="90" spans="1:10" x14ac:dyDescent="0.3">
      <c r="A90" t="s">
        <v>90</v>
      </c>
      <c r="B90" t="s">
        <v>91</v>
      </c>
      <c r="C90" t="s">
        <v>1301</v>
      </c>
      <c r="D90" t="s">
        <v>1301</v>
      </c>
      <c r="E90" t="s">
        <v>1301</v>
      </c>
      <c r="F90" t="s">
        <v>1301</v>
      </c>
      <c r="G90" t="s">
        <v>1301</v>
      </c>
      <c r="H90" t="s">
        <v>1301</v>
      </c>
      <c r="I90" t="s">
        <v>1301</v>
      </c>
      <c r="J90" t="s">
        <v>1301</v>
      </c>
    </row>
    <row r="91" spans="1:10" x14ac:dyDescent="0.3">
      <c r="A91" t="s">
        <v>92</v>
      </c>
      <c r="B91" t="s">
        <v>93</v>
      </c>
      <c r="C91" t="s">
        <v>1301</v>
      </c>
      <c r="D91" t="s">
        <v>1301</v>
      </c>
      <c r="E91" t="s">
        <v>1301</v>
      </c>
      <c r="F91" t="s">
        <v>1301</v>
      </c>
      <c r="G91" t="s">
        <v>1301</v>
      </c>
      <c r="H91" t="s">
        <v>1301</v>
      </c>
      <c r="I91" t="s">
        <v>1301</v>
      </c>
      <c r="J91" t="s">
        <v>1301</v>
      </c>
    </row>
    <row r="92" spans="1:10" x14ac:dyDescent="0.3">
      <c r="A92" t="s">
        <v>94</v>
      </c>
      <c r="B92" t="s">
        <v>95</v>
      </c>
      <c r="C92" t="s">
        <v>1301</v>
      </c>
      <c r="D92" t="s">
        <v>1301</v>
      </c>
      <c r="E92" t="s">
        <v>1301</v>
      </c>
      <c r="F92" t="s">
        <v>1301</v>
      </c>
      <c r="G92" t="s">
        <v>1301</v>
      </c>
      <c r="H92" t="s">
        <v>1301</v>
      </c>
      <c r="I92" t="s">
        <v>1301</v>
      </c>
      <c r="J92" t="s">
        <v>1301</v>
      </c>
    </row>
    <row r="93" spans="1:10" x14ac:dyDescent="0.3">
      <c r="A93" t="s">
        <v>96</v>
      </c>
      <c r="B93" t="s">
        <v>97</v>
      </c>
      <c r="C93" t="s">
        <v>1301</v>
      </c>
      <c r="D93" t="s">
        <v>1301</v>
      </c>
      <c r="E93" t="s">
        <v>1301</v>
      </c>
      <c r="F93" t="s">
        <v>1301</v>
      </c>
      <c r="G93" t="s">
        <v>1301</v>
      </c>
      <c r="H93" t="s">
        <v>1301</v>
      </c>
      <c r="I93" t="s">
        <v>1301</v>
      </c>
      <c r="J93" t="s">
        <v>1301</v>
      </c>
    </row>
    <row r="94" spans="1:10" x14ac:dyDescent="0.3">
      <c r="A94" t="s">
        <v>100</v>
      </c>
      <c r="B94" t="s">
        <v>101</v>
      </c>
      <c r="C94" t="s">
        <v>1301</v>
      </c>
      <c r="D94" t="s">
        <v>1301</v>
      </c>
      <c r="E94" t="s">
        <v>1301</v>
      </c>
      <c r="F94" t="s">
        <v>1301</v>
      </c>
      <c r="G94" t="s">
        <v>1301</v>
      </c>
      <c r="H94" t="s">
        <v>1301</v>
      </c>
      <c r="I94" t="s">
        <v>1301</v>
      </c>
      <c r="J94" t="s">
        <v>1301</v>
      </c>
    </row>
    <row r="95" spans="1:10" x14ac:dyDescent="0.3">
      <c r="A95" t="s">
        <v>104</v>
      </c>
      <c r="B95" t="s">
        <v>105</v>
      </c>
      <c r="C95" t="s">
        <v>1301</v>
      </c>
      <c r="D95" t="s">
        <v>1301</v>
      </c>
      <c r="E95" t="s">
        <v>1301</v>
      </c>
      <c r="F95" t="s">
        <v>1301</v>
      </c>
      <c r="G95" t="s">
        <v>1301</v>
      </c>
      <c r="H95" t="s">
        <v>1301</v>
      </c>
      <c r="I95" t="s">
        <v>1301</v>
      </c>
      <c r="J95" t="s">
        <v>1301</v>
      </c>
    </row>
    <row r="96" spans="1:10" x14ac:dyDescent="0.3">
      <c r="A96" t="s">
        <v>106</v>
      </c>
      <c r="B96" t="s">
        <v>107</v>
      </c>
      <c r="C96" t="s">
        <v>1301</v>
      </c>
      <c r="D96" t="s">
        <v>1301</v>
      </c>
      <c r="E96" t="s">
        <v>1301</v>
      </c>
      <c r="F96" t="s">
        <v>1301</v>
      </c>
      <c r="G96" t="s">
        <v>1301</v>
      </c>
      <c r="H96" t="s">
        <v>1301</v>
      </c>
      <c r="I96" t="s">
        <v>1301</v>
      </c>
      <c r="J96" t="s">
        <v>1301</v>
      </c>
    </row>
    <row r="97" spans="1:10" x14ac:dyDescent="0.3">
      <c r="A97" t="s">
        <v>110</v>
      </c>
      <c r="B97" t="s">
        <v>111</v>
      </c>
      <c r="C97" t="s">
        <v>1301</v>
      </c>
      <c r="D97" t="s">
        <v>1301</v>
      </c>
      <c r="E97" t="s">
        <v>1301</v>
      </c>
      <c r="F97" t="s">
        <v>1301</v>
      </c>
      <c r="G97" t="s">
        <v>1301</v>
      </c>
      <c r="H97" t="s">
        <v>1301</v>
      </c>
      <c r="I97" t="s">
        <v>1301</v>
      </c>
      <c r="J97" t="s">
        <v>1301</v>
      </c>
    </row>
    <row r="98" spans="1:10" x14ac:dyDescent="0.3">
      <c r="A98" t="s">
        <v>113</v>
      </c>
      <c r="B98" t="s">
        <v>114</v>
      </c>
      <c r="C98" t="s">
        <v>1301</v>
      </c>
      <c r="D98" t="s">
        <v>1301</v>
      </c>
      <c r="E98" t="s">
        <v>1301</v>
      </c>
      <c r="F98" t="s">
        <v>1301</v>
      </c>
      <c r="G98" t="s">
        <v>1301</v>
      </c>
      <c r="H98" t="s">
        <v>1301</v>
      </c>
      <c r="I98" t="s">
        <v>1301</v>
      </c>
      <c r="J98" t="s">
        <v>1301</v>
      </c>
    </row>
    <row r="99" spans="1:10" x14ac:dyDescent="0.3">
      <c r="A99" t="s">
        <v>115</v>
      </c>
      <c r="B99" t="s">
        <v>116</v>
      </c>
      <c r="C99" t="s">
        <v>1301</v>
      </c>
      <c r="D99" t="s">
        <v>1301</v>
      </c>
      <c r="E99" t="s">
        <v>1301</v>
      </c>
      <c r="F99" t="s">
        <v>1301</v>
      </c>
      <c r="G99" t="s">
        <v>1301</v>
      </c>
      <c r="H99" t="s">
        <v>1301</v>
      </c>
      <c r="I99" t="s">
        <v>1301</v>
      </c>
      <c r="J99" t="s">
        <v>1301</v>
      </c>
    </row>
    <row r="100" spans="1:10" x14ac:dyDescent="0.3">
      <c r="A100" t="s">
        <v>117</v>
      </c>
      <c r="B100" t="s">
        <v>118</v>
      </c>
      <c r="C100" t="s">
        <v>1301</v>
      </c>
      <c r="D100" t="s">
        <v>1301</v>
      </c>
      <c r="E100" t="s">
        <v>1301</v>
      </c>
      <c r="F100" t="s">
        <v>1301</v>
      </c>
      <c r="G100" t="s">
        <v>1301</v>
      </c>
      <c r="H100" t="s">
        <v>1301</v>
      </c>
      <c r="I100" t="s">
        <v>1301</v>
      </c>
      <c r="J100" t="s">
        <v>1301</v>
      </c>
    </row>
    <row r="101" spans="1:10" x14ac:dyDescent="0.3">
      <c r="A101" t="s">
        <v>119</v>
      </c>
      <c r="B101" t="s">
        <v>120</v>
      </c>
      <c r="C101" t="s">
        <v>1301</v>
      </c>
      <c r="D101" t="s">
        <v>1301</v>
      </c>
      <c r="E101" t="s">
        <v>1301</v>
      </c>
      <c r="F101" t="s">
        <v>1301</v>
      </c>
      <c r="G101" t="s">
        <v>1301</v>
      </c>
      <c r="H101" t="s">
        <v>1301</v>
      </c>
      <c r="I101" t="s">
        <v>1301</v>
      </c>
      <c r="J101" t="s">
        <v>1301</v>
      </c>
    </row>
    <row r="102" spans="1:10" x14ac:dyDescent="0.3">
      <c r="A102" t="s">
        <v>123</v>
      </c>
      <c r="B102" t="s">
        <v>124</v>
      </c>
      <c r="C102" t="s">
        <v>1301</v>
      </c>
      <c r="D102" t="s">
        <v>1301</v>
      </c>
      <c r="E102" t="s">
        <v>1301</v>
      </c>
      <c r="F102" t="s">
        <v>1301</v>
      </c>
      <c r="G102" t="s">
        <v>1301</v>
      </c>
      <c r="H102" t="s">
        <v>1301</v>
      </c>
      <c r="I102" t="s">
        <v>1301</v>
      </c>
      <c r="J102" t="s">
        <v>1301</v>
      </c>
    </row>
    <row r="103" spans="1:10" x14ac:dyDescent="0.3">
      <c r="A103" t="s">
        <v>125</v>
      </c>
      <c r="B103" t="s">
        <v>126</v>
      </c>
      <c r="C103" t="s">
        <v>1301</v>
      </c>
      <c r="D103" t="s">
        <v>1301</v>
      </c>
      <c r="E103" t="s">
        <v>1301</v>
      </c>
      <c r="F103" t="s">
        <v>1301</v>
      </c>
      <c r="G103" t="s">
        <v>1301</v>
      </c>
      <c r="H103" t="s">
        <v>1301</v>
      </c>
      <c r="I103" t="s">
        <v>1301</v>
      </c>
      <c r="J103" t="s">
        <v>1301</v>
      </c>
    </row>
    <row r="104" spans="1:10" x14ac:dyDescent="0.3">
      <c r="A104" t="s">
        <v>127</v>
      </c>
      <c r="B104" t="s">
        <v>128</v>
      </c>
      <c r="C104" t="s">
        <v>1301</v>
      </c>
      <c r="D104" t="s">
        <v>1301</v>
      </c>
      <c r="E104" t="s">
        <v>1301</v>
      </c>
      <c r="F104" t="s">
        <v>1301</v>
      </c>
      <c r="G104" t="s">
        <v>1301</v>
      </c>
      <c r="H104" t="s">
        <v>1301</v>
      </c>
      <c r="I104" t="s">
        <v>1301</v>
      </c>
      <c r="J104" t="s">
        <v>1301</v>
      </c>
    </row>
    <row r="105" spans="1:10" x14ac:dyDescent="0.3">
      <c r="A105" t="s">
        <v>131</v>
      </c>
      <c r="B105" t="s">
        <v>132</v>
      </c>
      <c r="C105" t="s">
        <v>1301</v>
      </c>
      <c r="D105" t="s">
        <v>1301</v>
      </c>
      <c r="E105" t="s">
        <v>1301</v>
      </c>
      <c r="F105" t="s">
        <v>1301</v>
      </c>
      <c r="G105" t="s">
        <v>1301</v>
      </c>
      <c r="H105" t="s">
        <v>1301</v>
      </c>
      <c r="I105" t="s">
        <v>1301</v>
      </c>
      <c r="J105" t="s">
        <v>1301</v>
      </c>
    </row>
    <row r="106" spans="1:10" x14ac:dyDescent="0.3">
      <c r="A106" t="s">
        <v>944</v>
      </c>
      <c r="B106" t="s">
        <v>945</v>
      </c>
      <c r="C106" t="s">
        <v>1301</v>
      </c>
      <c r="D106" t="s">
        <v>1301</v>
      </c>
      <c r="E106" t="s">
        <v>1301</v>
      </c>
      <c r="F106" t="s">
        <v>1301</v>
      </c>
      <c r="G106" t="s">
        <v>1301</v>
      </c>
      <c r="H106" t="s">
        <v>1301</v>
      </c>
      <c r="I106" t="s">
        <v>1301</v>
      </c>
      <c r="J106" t="s">
        <v>1301</v>
      </c>
    </row>
    <row r="107" spans="1:10" x14ac:dyDescent="0.3">
      <c r="A107" t="s">
        <v>135</v>
      </c>
      <c r="B107" t="s">
        <v>136</v>
      </c>
      <c r="C107" t="s">
        <v>1301</v>
      </c>
      <c r="D107" t="s">
        <v>1301</v>
      </c>
      <c r="E107" t="s">
        <v>1301</v>
      </c>
      <c r="F107" t="s">
        <v>1301</v>
      </c>
      <c r="G107" t="s">
        <v>1301</v>
      </c>
      <c r="H107" t="s">
        <v>1301</v>
      </c>
      <c r="I107" t="s">
        <v>1301</v>
      </c>
      <c r="J107" t="s">
        <v>1301</v>
      </c>
    </row>
    <row r="108" spans="1:10" x14ac:dyDescent="0.3">
      <c r="A108" t="s">
        <v>137</v>
      </c>
      <c r="B108" t="s">
        <v>138</v>
      </c>
      <c r="C108" t="s">
        <v>1301</v>
      </c>
      <c r="D108" t="s">
        <v>1301</v>
      </c>
      <c r="E108" t="s">
        <v>1301</v>
      </c>
      <c r="F108" t="s">
        <v>1301</v>
      </c>
      <c r="G108" t="s">
        <v>1301</v>
      </c>
      <c r="H108" t="s">
        <v>1301</v>
      </c>
      <c r="I108" t="s">
        <v>1301</v>
      </c>
      <c r="J108" t="s">
        <v>1301</v>
      </c>
    </row>
    <row r="109" spans="1:10" x14ac:dyDescent="0.3">
      <c r="A109" t="s">
        <v>139</v>
      </c>
      <c r="B109" t="s">
        <v>140</v>
      </c>
      <c r="C109" t="s">
        <v>1301</v>
      </c>
      <c r="D109" t="s">
        <v>1301</v>
      </c>
      <c r="E109" t="s">
        <v>1301</v>
      </c>
      <c r="F109" t="s">
        <v>1301</v>
      </c>
      <c r="G109" t="s">
        <v>1301</v>
      </c>
      <c r="H109" t="s">
        <v>1301</v>
      </c>
      <c r="I109" t="s">
        <v>1301</v>
      </c>
      <c r="J109" t="s">
        <v>1301</v>
      </c>
    </row>
    <row r="110" spans="1:10" x14ac:dyDescent="0.3">
      <c r="A110" t="s">
        <v>141</v>
      </c>
      <c r="B110" t="s">
        <v>142</v>
      </c>
      <c r="C110" t="s">
        <v>1301</v>
      </c>
      <c r="D110" t="s">
        <v>1301</v>
      </c>
      <c r="E110" t="s">
        <v>1301</v>
      </c>
      <c r="F110" t="s">
        <v>1301</v>
      </c>
      <c r="G110" t="s">
        <v>1301</v>
      </c>
      <c r="H110" t="s">
        <v>1301</v>
      </c>
      <c r="I110" t="s">
        <v>1301</v>
      </c>
      <c r="J110" t="s">
        <v>1301</v>
      </c>
    </row>
    <row r="111" spans="1:10" x14ac:dyDescent="0.3">
      <c r="A111" t="s">
        <v>143</v>
      </c>
      <c r="B111" t="s">
        <v>144</v>
      </c>
      <c r="C111" t="s">
        <v>1301</v>
      </c>
      <c r="D111" t="s">
        <v>1301</v>
      </c>
      <c r="E111" t="s">
        <v>1301</v>
      </c>
      <c r="F111" t="s">
        <v>1301</v>
      </c>
      <c r="G111" t="s">
        <v>1301</v>
      </c>
      <c r="H111" t="s">
        <v>1301</v>
      </c>
      <c r="I111" t="s">
        <v>1301</v>
      </c>
      <c r="J111" t="s">
        <v>1301</v>
      </c>
    </row>
    <row r="112" spans="1:10" x14ac:dyDescent="0.3">
      <c r="A112" t="s">
        <v>568</v>
      </c>
      <c r="B112" t="s">
        <v>145</v>
      </c>
      <c r="C112" t="s">
        <v>1301</v>
      </c>
      <c r="D112" t="s">
        <v>1301</v>
      </c>
      <c r="E112" t="s">
        <v>1301</v>
      </c>
      <c r="F112" t="s">
        <v>1301</v>
      </c>
      <c r="G112" t="s">
        <v>1301</v>
      </c>
      <c r="H112" t="s">
        <v>1301</v>
      </c>
      <c r="I112" t="s">
        <v>1301</v>
      </c>
      <c r="J112" t="s">
        <v>1301</v>
      </c>
    </row>
    <row r="113" spans="1:10" x14ac:dyDescent="0.3">
      <c r="A113" t="s">
        <v>146</v>
      </c>
      <c r="B113" t="s">
        <v>147</v>
      </c>
      <c r="C113" t="s">
        <v>1301</v>
      </c>
      <c r="D113" t="s">
        <v>1301</v>
      </c>
      <c r="E113" t="s">
        <v>1301</v>
      </c>
      <c r="F113" t="s">
        <v>1301</v>
      </c>
      <c r="G113" t="s">
        <v>1301</v>
      </c>
      <c r="H113" t="s">
        <v>1301</v>
      </c>
      <c r="I113" t="s">
        <v>1301</v>
      </c>
      <c r="J113" t="s">
        <v>1301</v>
      </c>
    </row>
    <row r="114" spans="1:10" x14ac:dyDescent="0.3">
      <c r="A114" t="s">
        <v>569</v>
      </c>
      <c r="B114" t="s">
        <v>148</v>
      </c>
      <c r="C114" t="s">
        <v>1301</v>
      </c>
      <c r="D114" t="s">
        <v>1301</v>
      </c>
      <c r="E114" t="s">
        <v>1301</v>
      </c>
      <c r="F114" t="s">
        <v>1301</v>
      </c>
      <c r="G114" t="s">
        <v>1301</v>
      </c>
      <c r="H114" t="s">
        <v>1301</v>
      </c>
      <c r="I114" t="s">
        <v>1301</v>
      </c>
      <c r="J114" t="s">
        <v>1301</v>
      </c>
    </row>
    <row r="115" spans="1:10" x14ac:dyDescent="0.3">
      <c r="A115" t="s">
        <v>149</v>
      </c>
      <c r="B115" t="s">
        <v>150</v>
      </c>
      <c r="C115" t="s">
        <v>1301</v>
      </c>
      <c r="D115" t="s">
        <v>1301</v>
      </c>
      <c r="E115" t="s">
        <v>1301</v>
      </c>
      <c r="F115" t="s">
        <v>1301</v>
      </c>
      <c r="G115" t="s">
        <v>1301</v>
      </c>
      <c r="H115" t="s">
        <v>1301</v>
      </c>
      <c r="I115" t="s">
        <v>1301</v>
      </c>
      <c r="J115" t="s">
        <v>1301</v>
      </c>
    </row>
    <row r="116" spans="1:10" x14ac:dyDescent="0.3">
      <c r="A116" t="s">
        <v>151</v>
      </c>
      <c r="B116" t="s">
        <v>152</v>
      </c>
      <c r="C116" t="s">
        <v>1301</v>
      </c>
      <c r="D116" t="s">
        <v>1301</v>
      </c>
      <c r="E116" t="s">
        <v>1301</v>
      </c>
      <c r="F116" t="s">
        <v>1301</v>
      </c>
      <c r="G116" t="s">
        <v>1301</v>
      </c>
      <c r="H116" t="s">
        <v>1301</v>
      </c>
      <c r="I116" t="s">
        <v>1301</v>
      </c>
      <c r="J116" t="s">
        <v>1301</v>
      </c>
    </row>
    <row r="117" spans="1:10" x14ac:dyDescent="0.3">
      <c r="A117" t="s">
        <v>153</v>
      </c>
      <c r="B117" t="s">
        <v>154</v>
      </c>
      <c r="C117" t="s">
        <v>1301</v>
      </c>
      <c r="D117" t="s">
        <v>1301</v>
      </c>
      <c r="E117" t="s">
        <v>1301</v>
      </c>
      <c r="F117" t="s">
        <v>1301</v>
      </c>
      <c r="G117" t="s">
        <v>1301</v>
      </c>
      <c r="H117" t="s">
        <v>1301</v>
      </c>
      <c r="I117" t="s">
        <v>1301</v>
      </c>
      <c r="J117" t="s">
        <v>1301</v>
      </c>
    </row>
    <row r="118" spans="1:10" x14ac:dyDescent="0.3">
      <c r="A118" t="s">
        <v>155</v>
      </c>
      <c r="B118" t="s">
        <v>156</v>
      </c>
      <c r="C118" t="s">
        <v>1301</v>
      </c>
      <c r="D118" t="s">
        <v>1301</v>
      </c>
      <c r="E118" t="s">
        <v>1301</v>
      </c>
      <c r="F118" t="s">
        <v>1301</v>
      </c>
      <c r="G118" t="s">
        <v>1301</v>
      </c>
      <c r="H118" t="s">
        <v>1301</v>
      </c>
      <c r="I118" t="s">
        <v>1301</v>
      </c>
      <c r="J118" t="s">
        <v>1301</v>
      </c>
    </row>
    <row r="119" spans="1:10" x14ac:dyDescent="0.3">
      <c r="A119" t="s">
        <v>157</v>
      </c>
      <c r="B119" t="s">
        <v>158</v>
      </c>
      <c r="C119" t="s">
        <v>1301</v>
      </c>
      <c r="D119" t="s">
        <v>1301</v>
      </c>
      <c r="E119" t="s">
        <v>1301</v>
      </c>
      <c r="F119" t="s">
        <v>1301</v>
      </c>
      <c r="G119" t="s">
        <v>1301</v>
      </c>
      <c r="H119" t="s">
        <v>1301</v>
      </c>
      <c r="I119" t="s">
        <v>1301</v>
      </c>
      <c r="J119" t="s">
        <v>1301</v>
      </c>
    </row>
    <row r="120" spans="1:10" x14ac:dyDescent="0.3">
      <c r="A120" t="s">
        <v>159</v>
      </c>
      <c r="B120" t="s">
        <v>160</v>
      </c>
      <c r="C120" t="s">
        <v>1301</v>
      </c>
      <c r="D120" t="s">
        <v>1301</v>
      </c>
      <c r="E120" t="s">
        <v>1301</v>
      </c>
      <c r="F120" t="s">
        <v>1301</v>
      </c>
      <c r="G120" t="s">
        <v>1301</v>
      </c>
      <c r="H120" t="s">
        <v>1301</v>
      </c>
      <c r="I120" t="s">
        <v>1301</v>
      </c>
      <c r="J120" t="s">
        <v>1301</v>
      </c>
    </row>
    <row r="121" spans="1:10" x14ac:dyDescent="0.3">
      <c r="A121" t="s">
        <v>161</v>
      </c>
      <c r="B121" t="s">
        <v>162</v>
      </c>
      <c r="C121" t="s">
        <v>1301</v>
      </c>
      <c r="D121" t="s">
        <v>1301</v>
      </c>
      <c r="E121" t="s">
        <v>1301</v>
      </c>
      <c r="F121" t="s">
        <v>1301</v>
      </c>
      <c r="G121" t="s">
        <v>1301</v>
      </c>
      <c r="H121" t="s">
        <v>1301</v>
      </c>
      <c r="I121" t="s">
        <v>1301</v>
      </c>
      <c r="J121" t="s">
        <v>1301</v>
      </c>
    </row>
    <row r="122" spans="1:10" x14ac:dyDescent="0.3">
      <c r="A122" t="s">
        <v>163</v>
      </c>
      <c r="B122" t="s">
        <v>164</v>
      </c>
      <c r="C122" t="s">
        <v>1301</v>
      </c>
      <c r="D122" t="s">
        <v>1301</v>
      </c>
      <c r="E122" t="s">
        <v>1301</v>
      </c>
      <c r="F122" t="s">
        <v>1301</v>
      </c>
      <c r="G122" t="s">
        <v>1301</v>
      </c>
      <c r="H122" t="s">
        <v>1301</v>
      </c>
      <c r="I122" t="s">
        <v>1301</v>
      </c>
      <c r="J122" t="s">
        <v>1301</v>
      </c>
    </row>
    <row r="123" spans="1:10" x14ac:dyDescent="0.3">
      <c r="A123" t="s">
        <v>165</v>
      </c>
      <c r="B123" t="s">
        <v>166</v>
      </c>
      <c r="C123" t="s">
        <v>1301</v>
      </c>
      <c r="D123" t="s">
        <v>1301</v>
      </c>
      <c r="E123" t="s">
        <v>1301</v>
      </c>
      <c r="F123" t="s">
        <v>1301</v>
      </c>
      <c r="G123" t="s">
        <v>1301</v>
      </c>
      <c r="H123" t="s">
        <v>1301</v>
      </c>
      <c r="I123" t="s">
        <v>1301</v>
      </c>
      <c r="J123" t="s">
        <v>1301</v>
      </c>
    </row>
    <row r="124" spans="1:10" x14ac:dyDescent="0.3">
      <c r="A124" t="s">
        <v>946</v>
      </c>
      <c r="B124" t="s">
        <v>947</v>
      </c>
      <c r="C124" t="s">
        <v>1301</v>
      </c>
      <c r="D124" t="s">
        <v>1301</v>
      </c>
      <c r="E124" t="s">
        <v>1301</v>
      </c>
      <c r="F124" t="s">
        <v>1301</v>
      </c>
      <c r="G124" t="s">
        <v>1301</v>
      </c>
      <c r="H124" t="s">
        <v>1301</v>
      </c>
      <c r="I124" t="s">
        <v>1301</v>
      </c>
      <c r="J124" t="s">
        <v>1301</v>
      </c>
    </row>
    <row r="125" spans="1:10" x14ac:dyDescent="0.3">
      <c r="A125" t="s">
        <v>167</v>
      </c>
      <c r="B125" t="s">
        <v>168</v>
      </c>
      <c r="C125" t="s">
        <v>1301</v>
      </c>
      <c r="D125" t="s">
        <v>1301</v>
      </c>
      <c r="E125" t="s">
        <v>1301</v>
      </c>
      <c r="F125" t="s">
        <v>1301</v>
      </c>
      <c r="G125" t="s">
        <v>1301</v>
      </c>
      <c r="H125" t="s">
        <v>1301</v>
      </c>
      <c r="I125" t="s">
        <v>1301</v>
      </c>
      <c r="J125" t="s">
        <v>1301</v>
      </c>
    </row>
    <row r="126" spans="1:10" x14ac:dyDescent="0.3">
      <c r="A126" t="s">
        <v>1329</v>
      </c>
      <c r="B126" t="s">
        <v>1330</v>
      </c>
      <c r="C126" t="s">
        <v>1301</v>
      </c>
      <c r="D126" t="s">
        <v>1301</v>
      </c>
      <c r="E126" t="s">
        <v>1301</v>
      </c>
      <c r="F126" t="s">
        <v>1301</v>
      </c>
      <c r="G126" t="s">
        <v>1301</v>
      </c>
      <c r="H126" t="s">
        <v>1301</v>
      </c>
      <c r="I126" t="s">
        <v>1301</v>
      </c>
      <c r="J126" t="s">
        <v>1301</v>
      </c>
    </row>
    <row r="127" spans="1:10" x14ac:dyDescent="0.3">
      <c r="A127" t="s">
        <v>948</v>
      </c>
      <c r="B127" t="s">
        <v>949</v>
      </c>
      <c r="C127" t="s">
        <v>1301</v>
      </c>
      <c r="D127" t="s">
        <v>1301</v>
      </c>
      <c r="E127" t="s">
        <v>1301</v>
      </c>
      <c r="F127" t="s">
        <v>1301</v>
      </c>
      <c r="G127" t="s">
        <v>1301</v>
      </c>
      <c r="H127" t="s">
        <v>1301</v>
      </c>
      <c r="I127" t="s">
        <v>1301</v>
      </c>
      <c r="J127" t="s">
        <v>1301</v>
      </c>
    </row>
    <row r="128" spans="1:10" x14ac:dyDescent="0.3">
      <c r="A128" t="s">
        <v>169</v>
      </c>
      <c r="B128" t="s">
        <v>170</v>
      </c>
      <c r="C128" t="s">
        <v>1301</v>
      </c>
      <c r="D128" t="s">
        <v>1301</v>
      </c>
      <c r="E128" t="s">
        <v>1301</v>
      </c>
      <c r="F128" t="s">
        <v>1301</v>
      </c>
      <c r="G128" t="s">
        <v>1301</v>
      </c>
      <c r="H128" t="s">
        <v>1301</v>
      </c>
      <c r="I128" t="s">
        <v>1301</v>
      </c>
      <c r="J128" t="s">
        <v>1301</v>
      </c>
    </row>
    <row r="129" spans="1:10" x14ac:dyDescent="0.3">
      <c r="A129" t="s">
        <v>1331</v>
      </c>
      <c r="B129" t="s">
        <v>1106</v>
      </c>
      <c r="C129" t="s">
        <v>1301</v>
      </c>
      <c r="D129" t="s">
        <v>1301</v>
      </c>
      <c r="E129" t="s">
        <v>1301</v>
      </c>
      <c r="F129" t="s">
        <v>1301</v>
      </c>
      <c r="G129" t="s">
        <v>1301</v>
      </c>
      <c r="H129" t="s">
        <v>1301</v>
      </c>
      <c r="I129" t="s">
        <v>1301</v>
      </c>
      <c r="J129" t="s">
        <v>1301</v>
      </c>
    </row>
    <row r="130" spans="1:10" x14ac:dyDescent="0.3">
      <c r="A130" t="s">
        <v>171</v>
      </c>
      <c r="B130" t="s">
        <v>172</v>
      </c>
      <c r="C130" t="s">
        <v>1301</v>
      </c>
      <c r="D130" t="s">
        <v>1301</v>
      </c>
      <c r="E130" t="s">
        <v>1301</v>
      </c>
      <c r="F130" t="s">
        <v>1301</v>
      </c>
      <c r="G130" t="s">
        <v>1301</v>
      </c>
      <c r="H130" t="s">
        <v>1301</v>
      </c>
      <c r="I130" t="s">
        <v>1301</v>
      </c>
      <c r="J130" t="s">
        <v>1301</v>
      </c>
    </row>
    <row r="131" spans="1:10" x14ac:dyDescent="0.3">
      <c r="A131" t="s">
        <v>950</v>
      </c>
      <c r="B131" t="s">
        <v>951</v>
      </c>
      <c r="C131" t="s">
        <v>1301</v>
      </c>
      <c r="D131" t="s">
        <v>1301</v>
      </c>
      <c r="E131" t="s">
        <v>1301</v>
      </c>
      <c r="F131" t="s">
        <v>1301</v>
      </c>
      <c r="G131" t="s">
        <v>1301</v>
      </c>
      <c r="H131" t="s">
        <v>1301</v>
      </c>
      <c r="I131" t="s">
        <v>1301</v>
      </c>
      <c r="J131" t="s">
        <v>1301</v>
      </c>
    </row>
    <row r="132" spans="1:10" x14ac:dyDescent="0.3">
      <c r="A132" t="s">
        <v>173</v>
      </c>
      <c r="B132" t="s">
        <v>174</v>
      </c>
      <c r="C132" t="s">
        <v>1301</v>
      </c>
      <c r="D132" t="s">
        <v>1301</v>
      </c>
      <c r="E132" t="s">
        <v>1301</v>
      </c>
      <c r="F132" t="s">
        <v>1301</v>
      </c>
      <c r="G132" t="s">
        <v>1301</v>
      </c>
      <c r="H132" t="s">
        <v>1301</v>
      </c>
      <c r="I132" t="s">
        <v>1301</v>
      </c>
      <c r="J132" t="s">
        <v>1301</v>
      </c>
    </row>
    <row r="133" spans="1:10" x14ac:dyDescent="0.3">
      <c r="A133" t="s">
        <v>175</v>
      </c>
      <c r="B133" t="s">
        <v>176</v>
      </c>
      <c r="C133" t="s">
        <v>1301</v>
      </c>
      <c r="D133" t="s">
        <v>1301</v>
      </c>
      <c r="E133" t="s">
        <v>1301</v>
      </c>
      <c r="F133" t="s">
        <v>1301</v>
      </c>
      <c r="G133" t="s">
        <v>1301</v>
      </c>
      <c r="H133" t="s">
        <v>1301</v>
      </c>
      <c r="I133" t="s">
        <v>1301</v>
      </c>
      <c r="J133" t="s">
        <v>1301</v>
      </c>
    </row>
    <row r="134" spans="1:10" x14ac:dyDescent="0.3">
      <c r="A134" t="s">
        <v>952</v>
      </c>
      <c r="B134" t="s">
        <v>953</v>
      </c>
      <c r="C134" t="s">
        <v>1301</v>
      </c>
      <c r="D134" t="s">
        <v>1301</v>
      </c>
      <c r="E134" t="s">
        <v>1301</v>
      </c>
      <c r="F134" t="s">
        <v>1301</v>
      </c>
      <c r="G134" t="s">
        <v>1301</v>
      </c>
      <c r="H134" t="s">
        <v>1301</v>
      </c>
      <c r="I134" t="s">
        <v>1301</v>
      </c>
      <c r="J134" t="s">
        <v>1301</v>
      </c>
    </row>
    <row r="135" spans="1:10" x14ac:dyDescent="0.3">
      <c r="A135" t="s">
        <v>954</v>
      </c>
      <c r="B135" t="s">
        <v>955</v>
      </c>
      <c r="C135" t="s">
        <v>1301</v>
      </c>
      <c r="D135" t="s">
        <v>1301</v>
      </c>
      <c r="E135" t="s">
        <v>1301</v>
      </c>
      <c r="F135" t="s">
        <v>1301</v>
      </c>
      <c r="G135" t="s">
        <v>1301</v>
      </c>
      <c r="H135" t="s">
        <v>1301</v>
      </c>
      <c r="I135" t="s">
        <v>1301</v>
      </c>
      <c r="J135" t="s">
        <v>1301</v>
      </c>
    </row>
    <row r="136" spans="1:10" x14ac:dyDescent="0.3">
      <c r="A136" t="s">
        <v>177</v>
      </c>
      <c r="B136" t="s">
        <v>178</v>
      </c>
      <c r="C136" t="s">
        <v>1301</v>
      </c>
      <c r="D136" t="s">
        <v>1301</v>
      </c>
      <c r="E136" t="s">
        <v>1301</v>
      </c>
      <c r="F136" t="s">
        <v>1301</v>
      </c>
      <c r="G136" t="s">
        <v>1301</v>
      </c>
      <c r="H136" t="s">
        <v>1301</v>
      </c>
      <c r="I136" t="s">
        <v>1301</v>
      </c>
      <c r="J136" t="s">
        <v>1301</v>
      </c>
    </row>
    <row r="137" spans="1:10" x14ac:dyDescent="0.3">
      <c r="A137" t="s">
        <v>570</v>
      </c>
      <c r="B137" t="s">
        <v>571</v>
      </c>
      <c r="C137" t="s">
        <v>1301</v>
      </c>
      <c r="D137" t="s">
        <v>1301</v>
      </c>
      <c r="E137" t="s">
        <v>1301</v>
      </c>
      <c r="F137" t="s">
        <v>1301</v>
      </c>
      <c r="G137" t="s">
        <v>1301</v>
      </c>
      <c r="H137" t="s">
        <v>1301</v>
      </c>
      <c r="I137" t="s">
        <v>1301</v>
      </c>
      <c r="J137" t="s">
        <v>1301</v>
      </c>
    </row>
    <row r="138" spans="1:10" x14ac:dyDescent="0.3">
      <c r="A138" t="s">
        <v>956</v>
      </c>
      <c r="B138" t="s">
        <v>957</v>
      </c>
      <c r="C138" t="s">
        <v>1301</v>
      </c>
      <c r="D138" t="s">
        <v>1301</v>
      </c>
      <c r="E138" t="s">
        <v>1301</v>
      </c>
      <c r="F138" t="s">
        <v>1301</v>
      </c>
      <c r="G138" t="s">
        <v>1301</v>
      </c>
      <c r="H138" t="s">
        <v>1301</v>
      </c>
      <c r="I138" t="s">
        <v>1301</v>
      </c>
      <c r="J138" t="s">
        <v>1301</v>
      </c>
    </row>
    <row r="139" spans="1:10" x14ac:dyDescent="0.3">
      <c r="A139" t="s">
        <v>179</v>
      </c>
      <c r="B139" t="s">
        <v>180</v>
      </c>
      <c r="C139" t="s">
        <v>1301</v>
      </c>
      <c r="D139" t="s">
        <v>1301</v>
      </c>
      <c r="E139" t="s">
        <v>1301</v>
      </c>
      <c r="F139" t="s">
        <v>1301</v>
      </c>
      <c r="G139" t="s">
        <v>1301</v>
      </c>
      <c r="H139" t="s">
        <v>1301</v>
      </c>
      <c r="I139" t="s">
        <v>1301</v>
      </c>
      <c r="J139" t="s">
        <v>1301</v>
      </c>
    </row>
    <row r="140" spans="1:10" x14ac:dyDescent="0.3">
      <c r="A140" t="s">
        <v>958</v>
      </c>
      <c r="B140" t="s">
        <v>959</v>
      </c>
      <c r="C140" t="s">
        <v>1301</v>
      </c>
      <c r="D140" t="s">
        <v>1301</v>
      </c>
      <c r="E140" t="s">
        <v>1301</v>
      </c>
      <c r="F140" t="s">
        <v>1301</v>
      </c>
      <c r="G140" t="s">
        <v>1301</v>
      </c>
      <c r="H140" t="s">
        <v>1301</v>
      </c>
      <c r="I140" t="s">
        <v>1301</v>
      </c>
      <c r="J140" t="s">
        <v>1301</v>
      </c>
    </row>
    <row r="141" spans="1:10" x14ac:dyDescent="0.3">
      <c r="A141" t="s">
        <v>572</v>
      </c>
      <c r="B141" t="s">
        <v>960</v>
      </c>
      <c r="C141" t="s">
        <v>1301</v>
      </c>
      <c r="D141" t="s">
        <v>1301</v>
      </c>
      <c r="E141" t="s">
        <v>1301</v>
      </c>
      <c r="F141" t="s">
        <v>1301</v>
      </c>
      <c r="G141" t="s">
        <v>1301</v>
      </c>
      <c r="H141" t="s">
        <v>1301</v>
      </c>
      <c r="I141" t="s">
        <v>1301</v>
      </c>
      <c r="J141" t="s">
        <v>1301</v>
      </c>
    </row>
    <row r="142" spans="1:10" x14ac:dyDescent="0.3">
      <c r="A142" t="s">
        <v>181</v>
      </c>
      <c r="B142" t="s">
        <v>182</v>
      </c>
      <c r="C142" t="s">
        <v>1301</v>
      </c>
      <c r="D142" t="s">
        <v>1301</v>
      </c>
      <c r="E142" t="s">
        <v>1301</v>
      </c>
      <c r="F142" t="s">
        <v>1301</v>
      </c>
      <c r="G142" t="s">
        <v>1301</v>
      </c>
      <c r="H142" t="s">
        <v>1301</v>
      </c>
      <c r="I142" t="s">
        <v>1301</v>
      </c>
      <c r="J142" t="s">
        <v>1301</v>
      </c>
    </row>
    <row r="143" spans="1:10" x14ac:dyDescent="0.3">
      <c r="A143" t="s">
        <v>961</v>
      </c>
      <c r="B143" t="s">
        <v>962</v>
      </c>
      <c r="C143" t="s">
        <v>1301</v>
      </c>
      <c r="D143" t="s">
        <v>1301</v>
      </c>
      <c r="E143" t="s">
        <v>1301</v>
      </c>
      <c r="F143" t="s">
        <v>1301</v>
      </c>
      <c r="G143" t="s">
        <v>1301</v>
      </c>
      <c r="H143" t="s">
        <v>1301</v>
      </c>
      <c r="I143" t="s">
        <v>1301</v>
      </c>
      <c r="J143" t="s">
        <v>1301</v>
      </c>
    </row>
    <row r="144" spans="1:10" x14ac:dyDescent="0.3">
      <c r="A144" t="s">
        <v>1332</v>
      </c>
      <c r="B144" t="s">
        <v>1333</v>
      </c>
      <c r="C144" t="s">
        <v>1301</v>
      </c>
      <c r="D144" t="s">
        <v>1301</v>
      </c>
      <c r="E144" t="s">
        <v>1301</v>
      </c>
      <c r="F144" t="s">
        <v>1301</v>
      </c>
      <c r="G144" t="s">
        <v>1301</v>
      </c>
      <c r="H144" t="s">
        <v>1301</v>
      </c>
      <c r="I144" t="s">
        <v>1301</v>
      </c>
      <c r="J144" t="s">
        <v>1301</v>
      </c>
    </row>
    <row r="145" spans="1:10" x14ac:dyDescent="0.3">
      <c r="A145" t="s">
        <v>183</v>
      </c>
      <c r="B145" t="s">
        <v>184</v>
      </c>
      <c r="C145" t="s">
        <v>1301</v>
      </c>
      <c r="D145" t="s">
        <v>1301</v>
      </c>
      <c r="E145" t="s">
        <v>1301</v>
      </c>
      <c r="F145" t="s">
        <v>1301</v>
      </c>
      <c r="G145" t="s">
        <v>1301</v>
      </c>
      <c r="H145" t="s">
        <v>1301</v>
      </c>
      <c r="I145" t="s">
        <v>1301</v>
      </c>
      <c r="J145" t="s">
        <v>1301</v>
      </c>
    </row>
    <row r="146" spans="1:10" x14ac:dyDescent="0.3">
      <c r="A146" t="s">
        <v>185</v>
      </c>
      <c r="B146" t="s">
        <v>186</v>
      </c>
      <c r="C146" t="s">
        <v>1301</v>
      </c>
      <c r="D146" t="s">
        <v>1301</v>
      </c>
      <c r="E146" t="s">
        <v>1301</v>
      </c>
      <c r="F146" t="s">
        <v>1301</v>
      </c>
      <c r="G146" t="s">
        <v>1301</v>
      </c>
      <c r="H146" t="s">
        <v>1301</v>
      </c>
      <c r="I146" t="s">
        <v>1301</v>
      </c>
      <c r="J146" t="s">
        <v>1301</v>
      </c>
    </row>
    <row r="147" spans="1:10" x14ac:dyDescent="0.3">
      <c r="A147" t="s">
        <v>187</v>
      </c>
      <c r="B147" t="s">
        <v>188</v>
      </c>
      <c r="C147" t="s">
        <v>1301</v>
      </c>
      <c r="D147" t="s">
        <v>1301</v>
      </c>
      <c r="E147" t="s">
        <v>1301</v>
      </c>
      <c r="F147" t="s">
        <v>1301</v>
      </c>
      <c r="G147" t="s">
        <v>1301</v>
      </c>
      <c r="H147" t="s">
        <v>1301</v>
      </c>
      <c r="I147" t="s">
        <v>1301</v>
      </c>
      <c r="J147" t="s">
        <v>1301</v>
      </c>
    </row>
    <row r="148" spans="1:10" x14ac:dyDescent="0.3">
      <c r="A148" t="s">
        <v>963</v>
      </c>
      <c r="B148" t="s">
        <v>964</v>
      </c>
      <c r="C148" t="s">
        <v>1301</v>
      </c>
      <c r="D148" t="s">
        <v>1301</v>
      </c>
      <c r="E148" t="s">
        <v>1301</v>
      </c>
      <c r="F148" t="s">
        <v>1301</v>
      </c>
      <c r="G148" t="s">
        <v>1301</v>
      </c>
      <c r="H148" t="s">
        <v>1301</v>
      </c>
      <c r="I148" t="s">
        <v>1301</v>
      </c>
      <c r="J148" t="s">
        <v>1301</v>
      </c>
    </row>
    <row r="149" spans="1:10" x14ac:dyDescent="0.3">
      <c r="A149" t="s">
        <v>965</v>
      </c>
      <c r="B149" t="s">
        <v>966</v>
      </c>
      <c r="C149" t="s">
        <v>1301</v>
      </c>
      <c r="D149" t="s">
        <v>1301</v>
      </c>
      <c r="E149" t="s">
        <v>1301</v>
      </c>
      <c r="F149" t="s">
        <v>1301</v>
      </c>
      <c r="G149" t="s">
        <v>1301</v>
      </c>
      <c r="H149" t="s">
        <v>1301</v>
      </c>
      <c r="I149" t="s">
        <v>1301</v>
      </c>
      <c r="J149" t="s">
        <v>1301</v>
      </c>
    </row>
    <row r="150" spans="1:10" x14ac:dyDescent="0.3">
      <c r="A150" t="s">
        <v>967</v>
      </c>
      <c r="B150" t="s">
        <v>109</v>
      </c>
      <c r="C150" t="s">
        <v>1301</v>
      </c>
      <c r="D150" t="s">
        <v>1301</v>
      </c>
      <c r="E150" t="s">
        <v>1301</v>
      </c>
      <c r="F150" t="s">
        <v>1301</v>
      </c>
      <c r="G150" t="s">
        <v>1301</v>
      </c>
      <c r="H150" t="s">
        <v>1301</v>
      </c>
      <c r="I150" t="s">
        <v>1301</v>
      </c>
      <c r="J150" t="s">
        <v>1301</v>
      </c>
    </row>
    <row r="151" spans="1:10" x14ac:dyDescent="0.3">
      <c r="A151" t="s">
        <v>1334</v>
      </c>
      <c r="B151" t="s">
        <v>1335</v>
      </c>
      <c r="C151" t="s">
        <v>1301</v>
      </c>
      <c r="D151" t="s">
        <v>1301</v>
      </c>
      <c r="E151" t="s">
        <v>1301</v>
      </c>
      <c r="F151" t="s">
        <v>1301</v>
      </c>
      <c r="G151" t="s">
        <v>1301</v>
      </c>
      <c r="H151" t="s">
        <v>1301</v>
      </c>
      <c r="I151" t="s">
        <v>1301</v>
      </c>
      <c r="J151" t="s">
        <v>1301</v>
      </c>
    </row>
    <row r="152" spans="1:10" x14ac:dyDescent="0.3">
      <c r="A152" t="s">
        <v>189</v>
      </c>
      <c r="B152" t="s">
        <v>190</v>
      </c>
      <c r="C152" t="s">
        <v>1301</v>
      </c>
      <c r="D152" t="s">
        <v>1301</v>
      </c>
      <c r="E152" t="s">
        <v>1301</v>
      </c>
      <c r="F152" t="s">
        <v>1301</v>
      </c>
      <c r="G152" t="s">
        <v>1301</v>
      </c>
      <c r="H152" t="s">
        <v>1301</v>
      </c>
      <c r="I152" t="s">
        <v>1301</v>
      </c>
      <c r="J152" t="s">
        <v>1301</v>
      </c>
    </row>
    <row r="153" spans="1:10" x14ac:dyDescent="0.3">
      <c r="A153" t="s">
        <v>191</v>
      </c>
      <c r="B153" t="s">
        <v>192</v>
      </c>
      <c r="C153" t="s">
        <v>1301</v>
      </c>
      <c r="D153" t="s">
        <v>1301</v>
      </c>
      <c r="E153" t="s">
        <v>1301</v>
      </c>
      <c r="F153" t="s">
        <v>1301</v>
      </c>
      <c r="G153" t="s">
        <v>1301</v>
      </c>
      <c r="H153" t="s">
        <v>1301</v>
      </c>
      <c r="I153" t="s">
        <v>1301</v>
      </c>
      <c r="J153" t="s">
        <v>1301</v>
      </c>
    </row>
    <row r="154" spans="1:10" x14ac:dyDescent="0.3">
      <c r="A154" t="s">
        <v>573</v>
      </c>
      <c r="B154" t="s">
        <v>574</v>
      </c>
      <c r="C154" t="s">
        <v>1301</v>
      </c>
      <c r="D154" t="s">
        <v>1301</v>
      </c>
      <c r="E154" t="s">
        <v>1301</v>
      </c>
      <c r="F154" t="s">
        <v>1301</v>
      </c>
      <c r="G154" t="s">
        <v>1301</v>
      </c>
      <c r="H154" t="s">
        <v>1301</v>
      </c>
      <c r="I154" t="s">
        <v>1301</v>
      </c>
      <c r="J154" t="s">
        <v>1301</v>
      </c>
    </row>
    <row r="155" spans="1:10" x14ac:dyDescent="0.3">
      <c r="A155" t="s">
        <v>968</v>
      </c>
      <c r="B155" t="s">
        <v>969</v>
      </c>
      <c r="C155" t="s">
        <v>1301</v>
      </c>
      <c r="D155" t="s">
        <v>1301</v>
      </c>
      <c r="E155" t="s">
        <v>1301</v>
      </c>
      <c r="F155" t="s">
        <v>1301</v>
      </c>
      <c r="G155" t="s">
        <v>1301</v>
      </c>
      <c r="H155" t="s">
        <v>1301</v>
      </c>
      <c r="I155" t="s">
        <v>1301</v>
      </c>
      <c r="J155" t="s">
        <v>1301</v>
      </c>
    </row>
    <row r="156" spans="1:10" x14ac:dyDescent="0.3">
      <c r="A156" t="s">
        <v>575</v>
      </c>
      <c r="B156" t="s">
        <v>576</v>
      </c>
      <c r="C156" t="s">
        <v>1301</v>
      </c>
      <c r="D156" t="s">
        <v>1301</v>
      </c>
      <c r="E156" t="s">
        <v>1301</v>
      </c>
      <c r="F156" t="s">
        <v>1301</v>
      </c>
      <c r="G156" t="s">
        <v>1301</v>
      </c>
      <c r="H156" t="s">
        <v>1301</v>
      </c>
      <c r="I156" t="s">
        <v>1301</v>
      </c>
      <c r="J156" t="s">
        <v>1301</v>
      </c>
    </row>
    <row r="157" spans="1:10" x14ac:dyDescent="0.3">
      <c r="A157" t="s">
        <v>970</v>
      </c>
      <c r="B157" t="s">
        <v>971</v>
      </c>
      <c r="C157" t="s">
        <v>1301</v>
      </c>
      <c r="D157" t="s">
        <v>1301</v>
      </c>
      <c r="E157" t="s">
        <v>1301</v>
      </c>
      <c r="F157" t="s">
        <v>1301</v>
      </c>
      <c r="G157" t="s">
        <v>1301</v>
      </c>
      <c r="H157" t="s">
        <v>1301</v>
      </c>
      <c r="I157" t="s">
        <v>1301</v>
      </c>
      <c r="J157" t="s">
        <v>1301</v>
      </c>
    </row>
    <row r="158" spans="1:10" x14ac:dyDescent="0.3">
      <c r="A158" t="s">
        <v>972</v>
      </c>
      <c r="B158" t="s">
        <v>973</v>
      </c>
      <c r="C158" t="s">
        <v>1301</v>
      </c>
      <c r="D158" t="s">
        <v>1301</v>
      </c>
      <c r="E158" t="s">
        <v>1301</v>
      </c>
      <c r="F158" t="s">
        <v>1301</v>
      </c>
      <c r="G158" t="s">
        <v>1301</v>
      </c>
      <c r="H158" t="s">
        <v>1301</v>
      </c>
      <c r="I158" t="s">
        <v>1301</v>
      </c>
      <c r="J158" t="s">
        <v>1301</v>
      </c>
    </row>
    <row r="159" spans="1:10" x14ac:dyDescent="0.3">
      <c r="A159" t="s">
        <v>1336</v>
      </c>
      <c r="B159" t="s">
        <v>1301</v>
      </c>
      <c r="C159" t="s">
        <v>1301</v>
      </c>
      <c r="D159" t="s">
        <v>1301</v>
      </c>
      <c r="E159" t="s">
        <v>1301</v>
      </c>
      <c r="F159" t="s">
        <v>1301</v>
      </c>
      <c r="G159" t="s">
        <v>1301</v>
      </c>
      <c r="H159" t="s">
        <v>1301</v>
      </c>
      <c r="I159" t="s">
        <v>1301</v>
      </c>
      <c r="J159" t="s">
        <v>1301</v>
      </c>
    </row>
    <row r="160" spans="1:10" x14ac:dyDescent="0.3">
      <c r="A160" t="s">
        <v>1337</v>
      </c>
      <c r="B160" t="s">
        <v>1338</v>
      </c>
      <c r="C160" t="s">
        <v>1301</v>
      </c>
      <c r="D160" t="s">
        <v>1301</v>
      </c>
      <c r="E160" t="s">
        <v>1301</v>
      </c>
      <c r="F160" t="s">
        <v>1301</v>
      </c>
      <c r="G160" t="s">
        <v>1301</v>
      </c>
      <c r="H160" t="s">
        <v>1301</v>
      </c>
      <c r="I160" t="s">
        <v>1301</v>
      </c>
      <c r="J160" t="s">
        <v>1301</v>
      </c>
    </row>
    <row r="161" spans="1:10" x14ac:dyDescent="0.3">
      <c r="A161" t="s">
        <v>1339</v>
      </c>
      <c r="B161" t="s">
        <v>1340</v>
      </c>
      <c r="C161" t="s">
        <v>1301</v>
      </c>
      <c r="D161" t="s">
        <v>1301</v>
      </c>
      <c r="E161" t="s">
        <v>1301</v>
      </c>
      <c r="F161" t="s">
        <v>1301</v>
      </c>
      <c r="G161" t="s">
        <v>1301</v>
      </c>
      <c r="H161" t="s">
        <v>1301</v>
      </c>
      <c r="I161" t="s">
        <v>1301</v>
      </c>
      <c r="J161" t="s">
        <v>1301</v>
      </c>
    </row>
    <row r="162" spans="1:10" x14ac:dyDescent="0.3">
      <c r="A162" t="s">
        <v>193</v>
      </c>
      <c r="B162" t="s">
        <v>194</v>
      </c>
      <c r="C162" t="s">
        <v>1301</v>
      </c>
      <c r="D162" t="s">
        <v>1301</v>
      </c>
      <c r="E162" t="s">
        <v>1301</v>
      </c>
      <c r="F162" t="s">
        <v>1301</v>
      </c>
      <c r="G162" t="s">
        <v>1301</v>
      </c>
      <c r="H162" t="s">
        <v>1301</v>
      </c>
      <c r="I162" t="s">
        <v>1301</v>
      </c>
      <c r="J162" t="s">
        <v>1301</v>
      </c>
    </row>
    <row r="163" spans="1:10" x14ac:dyDescent="0.3">
      <c r="A163" t="s">
        <v>195</v>
      </c>
      <c r="B163" t="s">
        <v>196</v>
      </c>
      <c r="C163" t="s">
        <v>1301</v>
      </c>
      <c r="D163" t="s">
        <v>1301</v>
      </c>
      <c r="E163" t="s">
        <v>1301</v>
      </c>
      <c r="F163" t="s">
        <v>1301</v>
      </c>
      <c r="G163" t="s">
        <v>1301</v>
      </c>
      <c r="H163" t="s">
        <v>1301</v>
      </c>
      <c r="I163" t="s">
        <v>1301</v>
      </c>
      <c r="J163" t="s">
        <v>1301</v>
      </c>
    </row>
    <row r="164" spans="1:10" x14ac:dyDescent="0.3">
      <c r="A164" t="s">
        <v>197</v>
      </c>
      <c r="B164" t="s">
        <v>198</v>
      </c>
      <c r="C164" t="s">
        <v>1301</v>
      </c>
      <c r="D164" t="s">
        <v>1301</v>
      </c>
      <c r="E164" t="s">
        <v>1301</v>
      </c>
      <c r="F164" t="s">
        <v>1301</v>
      </c>
      <c r="G164" t="s">
        <v>1301</v>
      </c>
      <c r="H164" t="s">
        <v>1301</v>
      </c>
      <c r="I164" t="s">
        <v>1301</v>
      </c>
      <c r="J164" t="s">
        <v>1301</v>
      </c>
    </row>
    <row r="165" spans="1:10" x14ac:dyDescent="0.3">
      <c r="A165" t="s">
        <v>199</v>
      </c>
      <c r="B165" t="s">
        <v>200</v>
      </c>
      <c r="C165" t="s">
        <v>1301</v>
      </c>
      <c r="D165" t="s">
        <v>1301</v>
      </c>
      <c r="E165" t="s">
        <v>1301</v>
      </c>
      <c r="F165" t="s">
        <v>1301</v>
      </c>
      <c r="G165" t="s">
        <v>1301</v>
      </c>
      <c r="H165" t="s">
        <v>1301</v>
      </c>
      <c r="I165" t="s">
        <v>1301</v>
      </c>
      <c r="J165" t="s">
        <v>1301</v>
      </c>
    </row>
    <row r="166" spans="1:10" x14ac:dyDescent="0.3">
      <c r="A166" t="s">
        <v>1341</v>
      </c>
      <c r="B166" t="s">
        <v>1342</v>
      </c>
      <c r="C166" t="s">
        <v>1301</v>
      </c>
      <c r="D166" t="s">
        <v>1301</v>
      </c>
      <c r="E166" t="s">
        <v>1301</v>
      </c>
      <c r="F166" t="s">
        <v>1301</v>
      </c>
      <c r="G166" t="s">
        <v>1301</v>
      </c>
      <c r="H166" t="s">
        <v>1301</v>
      </c>
      <c r="I166" t="s">
        <v>1301</v>
      </c>
      <c r="J166" t="s">
        <v>1301</v>
      </c>
    </row>
    <row r="167" spans="1:10" x14ac:dyDescent="0.3">
      <c r="A167" t="s">
        <v>201</v>
      </c>
      <c r="B167" t="s">
        <v>577</v>
      </c>
      <c r="C167" t="s">
        <v>1301</v>
      </c>
      <c r="D167" t="s">
        <v>1301</v>
      </c>
      <c r="E167" t="s">
        <v>1301</v>
      </c>
      <c r="F167" t="s">
        <v>1301</v>
      </c>
      <c r="G167" t="s">
        <v>1301</v>
      </c>
      <c r="H167" t="s">
        <v>1301</v>
      </c>
      <c r="I167" t="s">
        <v>1301</v>
      </c>
      <c r="J167" t="s">
        <v>1301</v>
      </c>
    </row>
    <row r="168" spans="1:10" x14ac:dyDescent="0.3">
      <c r="A168" t="s">
        <v>1343</v>
      </c>
      <c r="B168" t="s">
        <v>1344</v>
      </c>
      <c r="C168" t="s">
        <v>1307</v>
      </c>
      <c r="D168" t="s">
        <v>1343</v>
      </c>
      <c r="E168" t="s">
        <v>1301</v>
      </c>
      <c r="F168" t="s">
        <v>1301</v>
      </c>
      <c r="G168" t="s">
        <v>1301</v>
      </c>
      <c r="H168" t="s">
        <v>1301</v>
      </c>
      <c r="I168" t="s">
        <v>1301</v>
      </c>
      <c r="J168" t="s">
        <v>1301</v>
      </c>
    </row>
    <row r="169" spans="1:10" x14ac:dyDescent="0.3">
      <c r="A169" t="s">
        <v>202</v>
      </c>
      <c r="B169" t="s">
        <v>203</v>
      </c>
      <c r="C169" t="s">
        <v>1301</v>
      </c>
      <c r="D169" t="s">
        <v>1301</v>
      </c>
      <c r="E169" t="s">
        <v>1301</v>
      </c>
      <c r="F169" t="s">
        <v>1301</v>
      </c>
      <c r="G169" t="s">
        <v>1301</v>
      </c>
      <c r="H169" t="s">
        <v>1301</v>
      </c>
      <c r="I169" t="s">
        <v>1301</v>
      </c>
      <c r="J169" t="s">
        <v>1301</v>
      </c>
    </row>
    <row r="170" spans="1:10" x14ac:dyDescent="0.3">
      <c r="A170" t="s">
        <v>1345</v>
      </c>
      <c r="B170" t="s">
        <v>1346</v>
      </c>
      <c r="C170" t="s">
        <v>1301</v>
      </c>
      <c r="D170" t="s">
        <v>1301</v>
      </c>
      <c r="E170" t="s">
        <v>1301</v>
      </c>
      <c r="F170" t="s">
        <v>1301</v>
      </c>
      <c r="G170" t="s">
        <v>1301</v>
      </c>
      <c r="H170" t="s">
        <v>1301</v>
      </c>
      <c r="I170" t="s">
        <v>1301</v>
      </c>
      <c r="J170" t="s">
        <v>1301</v>
      </c>
    </row>
    <row r="171" spans="1:10" x14ac:dyDescent="0.3">
      <c r="A171" t="s">
        <v>1347</v>
      </c>
      <c r="B171" t="s">
        <v>1348</v>
      </c>
      <c r="C171" t="s">
        <v>1301</v>
      </c>
      <c r="D171" t="s">
        <v>1301</v>
      </c>
      <c r="E171" t="s">
        <v>1301</v>
      </c>
      <c r="F171" t="s">
        <v>1301</v>
      </c>
      <c r="G171" t="s">
        <v>1301</v>
      </c>
      <c r="H171" t="s">
        <v>1301</v>
      </c>
      <c r="I171" t="s">
        <v>1301</v>
      </c>
      <c r="J171" t="s">
        <v>1301</v>
      </c>
    </row>
    <row r="172" spans="1:10" x14ac:dyDescent="0.3">
      <c r="A172" t="s">
        <v>578</v>
      </c>
      <c r="B172" t="s">
        <v>579</v>
      </c>
      <c r="C172" t="s">
        <v>1301</v>
      </c>
      <c r="D172" t="s">
        <v>1301</v>
      </c>
      <c r="E172" t="s">
        <v>1301</v>
      </c>
      <c r="F172" t="s">
        <v>1301</v>
      </c>
      <c r="G172" t="s">
        <v>1301</v>
      </c>
      <c r="H172" t="s">
        <v>1301</v>
      </c>
      <c r="I172" t="s">
        <v>1301</v>
      </c>
      <c r="J172" t="s">
        <v>1301</v>
      </c>
    </row>
    <row r="173" spans="1:10" x14ac:dyDescent="0.3">
      <c r="A173" t="s">
        <v>204</v>
      </c>
      <c r="B173" t="s">
        <v>205</v>
      </c>
      <c r="C173" t="s">
        <v>1301</v>
      </c>
      <c r="D173" t="s">
        <v>1301</v>
      </c>
      <c r="E173" t="s">
        <v>1301</v>
      </c>
      <c r="F173" t="s">
        <v>1301</v>
      </c>
      <c r="G173" t="s">
        <v>1301</v>
      </c>
      <c r="H173" t="s">
        <v>1301</v>
      </c>
      <c r="I173" t="s">
        <v>1301</v>
      </c>
      <c r="J173" t="s">
        <v>1301</v>
      </c>
    </row>
    <row r="174" spans="1:10" x14ac:dyDescent="0.3">
      <c r="A174" t="s">
        <v>974</v>
      </c>
      <c r="B174" t="s">
        <v>975</v>
      </c>
      <c r="C174" t="s">
        <v>1301</v>
      </c>
      <c r="D174" t="s">
        <v>1301</v>
      </c>
      <c r="E174" t="s">
        <v>1301</v>
      </c>
      <c r="F174" t="s">
        <v>1301</v>
      </c>
      <c r="G174" t="s">
        <v>1301</v>
      </c>
      <c r="H174" t="s">
        <v>1301</v>
      </c>
      <c r="I174" t="s">
        <v>1301</v>
      </c>
      <c r="J174" t="s">
        <v>1301</v>
      </c>
    </row>
    <row r="175" spans="1:10" x14ac:dyDescent="0.3">
      <c r="A175" t="s">
        <v>206</v>
      </c>
      <c r="B175" t="s">
        <v>207</v>
      </c>
      <c r="C175" t="s">
        <v>1301</v>
      </c>
      <c r="D175" t="s">
        <v>1301</v>
      </c>
      <c r="E175" t="s">
        <v>1301</v>
      </c>
      <c r="F175" t="s">
        <v>1301</v>
      </c>
      <c r="G175" t="s">
        <v>1301</v>
      </c>
      <c r="H175" t="s">
        <v>1301</v>
      </c>
      <c r="I175" t="s">
        <v>1301</v>
      </c>
      <c r="J175" t="s">
        <v>1301</v>
      </c>
    </row>
    <row r="176" spans="1:10" x14ac:dyDescent="0.3">
      <c r="A176" t="s">
        <v>208</v>
      </c>
      <c r="B176" t="s">
        <v>209</v>
      </c>
      <c r="C176" t="s">
        <v>1301</v>
      </c>
      <c r="D176" t="s">
        <v>1301</v>
      </c>
      <c r="E176" t="s">
        <v>1301</v>
      </c>
      <c r="F176" t="s">
        <v>1301</v>
      </c>
      <c r="G176" t="s">
        <v>1301</v>
      </c>
      <c r="H176" t="s">
        <v>1301</v>
      </c>
      <c r="I176" t="s">
        <v>1301</v>
      </c>
      <c r="J176" t="s">
        <v>1301</v>
      </c>
    </row>
    <row r="177" spans="1:10" x14ac:dyDescent="0.3">
      <c r="A177" t="s">
        <v>978</v>
      </c>
      <c r="B177" t="s">
        <v>979</v>
      </c>
      <c r="C177" t="s">
        <v>1301</v>
      </c>
      <c r="D177" t="s">
        <v>1301</v>
      </c>
      <c r="E177" t="s">
        <v>1301</v>
      </c>
      <c r="F177" t="s">
        <v>1301</v>
      </c>
      <c r="G177" t="s">
        <v>1301</v>
      </c>
      <c r="H177" t="s">
        <v>1301</v>
      </c>
      <c r="I177" t="s">
        <v>1301</v>
      </c>
      <c r="J177" t="s">
        <v>1301</v>
      </c>
    </row>
    <row r="178" spans="1:10" x14ac:dyDescent="0.3">
      <c r="A178" t="s">
        <v>210</v>
      </c>
      <c r="B178" t="s">
        <v>211</v>
      </c>
      <c r="C178" t="s">
        <v>1301</v>
      </c>
      <c r="D178" t="s">
        <v>1301</v>
      </c>
      <c r="E178" t="s">
        <v>1301</v>
      </c>
      <c r="F178" t="s">
        <v>1301</v>
      </c>
      <c r="G178" t="s">
        <v>1301</v>
      </c>
      <c r="H178" t="s">
        <v>1301</v>
      </c>
      <c r="I178" t="s">
        <v>1301</v>
      </c>
      <c r="J178" t="s">
        <v>1301</v>
      </c>
    </row>
    <row r="179" spans="1:10" x14ac:dyDescent="0.3">
      <c r="A179" t="s">
        <v>212</v>
      </c>
      <c r="B179" t="s">
        <v>213</v>
      </c>
      <c r="C179" t="s">
        <v>1301</v>
      </c>
      <c r="D179" t="s">
        <v>1301</v>
      </c>
      <c r="E179" t="s">
        <v>1301</v>
      </c>
      <c r="F179" t="s">
        <v>1301</v>
      </c>
      <c r="G179" t="s">
        <v>1301</v>
      </c>
      <c r="H179" t="s">
        <v>1301</v>
      </c>
      <c r="I179" t="s">
        <v>1301</v>
      </c>
      <c r="J179" t="s">
        <v>1301</v>
      </c>
    </row>
    <row r="180" spans="1:10" x14ac:dyDescent="0.3">
      <c r="A180" t="s">
        <v>214</v>
      </c>
      <c r="B180" t="s">
        <v>215</v>
      </c>
      <c r="C180" t="s">
        <v>1301</v>
      </c>
      <c r="D180" t="s">
        <v>1301</v>
      </c>
      <c r="E180" t="s">
        <v>1301</v>
      </c>
      <c r="F180" t="s">
        <v>1301</v>
      </c>
      <c r="G180" t="s">
        <v>1301</v>
      </c>
      <c r="H180" t="s">
        <v>1301</v>
      </c>
      <c r="I180" t="s">
        <v>1301</v>
      </c>
      <c r="J180" t="s">
        <v>1301</v>
      </c>
    </row>
    <row r="181" spans="1:10" x14ac:dyDescent="0.3">
      <c r="A181" t="s">
        <v>216</v>
      </c>
      <c r="B181" t="s">
        <v>217</v>
      </c>
      <c r="C181" t="s">
        <v>1301</v>
      </c>
      <c r="D181" t="s">
        <v>1301</v>
      </c>
      <c r="E181" t="s">
        <v>1301</v>
      </c>
      <c r="F181" t="s">
        <v>1301</v>
      </c>
      <c r="G181" t="s">
        <v>1301</v>
      </c>
      <c r="H181" t="s">
        <v>1301</v>
      </c>
      <c r="I181" t="s">
        <v>1301</v>
      </c>
      <c r="J181" t="s">
        <v>1301</v>
      </c>
    </row>
    <row r="182" spans="1:10" x14ac:dyDescent="0.3">
      <c r="A182" t="s">
        <v>980</v>
      </c>
      <c r="B182" t="s">
        <v>981</v>
      </c>
      <c r="C182" t="s">
        <v>1301</v>
      </c>
      <c r="D182" t="s">
        <v>1301</v>
      </c>
      <c r="E182" t="s">
        <v>1301</v>
      </c>
      <c r="F182" t="s">
        <v>1301</v>
      </c>
      <c r="G182" t="s">
        <v>1301</v>
      </c>
      <c r="H182" t="s">
        <v>1301</v>
      </c>
      <c r="I182" t="s">
        <v>1301</v>
      </c>
      <c r="J182" t="s">
        <v>1301</v>
      </c>
    </row>
    <row r="183" spans="1:10" x14ac:dyDescent="0.3">
      <c r="A183" t="s">
        <v>580</v>
      </c>
      <c r="B183" t="s">
        <v>61</v>
      </c>
      <c r="C183" t="s">
        <v>1301</v>
      </c>
      <c r="D183" t="s">
        <v>1301</v>
      </c>
      <c r="E183" t="s">
        <v>1301</v>
      </c>
      <c r="F183" t="s">
        <v>1301</v>
      </c>
      <c r="G183" t="s">
        <v>1301</v>
      </c>
      <c r="H183" t="s">
        <v>1301</v>
      </c>
      <c r="I183" t="s">
        <v>1301</v>
      </c>
      <c r="J183" t="s">
        <v>1301</v>
      </c>
    </row>
    <row r="184" spans="1:10" x14ac:dyDescent="0.3">
      <c r="A184" t="s">
        <v>219</v>
      </c>
      <c r="B184" t="s">
        <v>220</v>
      </c>
      <c r="C184" t="s">
        <v>1301</v>
      </c>
      <c r="D184" t="s">
        <v>1301</v>
      </c>
      <c r="E184" t="s">
        <v>1301</v>
      </c>
      <c r="F184" t="s">
        <v>1301</v>
      </c>
      <c r="G184" t="s">
        <v>1301</v>
      </c>
      <c r="H184" t="s">
        <v>1301</v>
      </c>
      <c r="I184" t="s">
        <v>1301</v>
      </c>
      <c r="J184" t="s">
        <v>1301</v>
      </c>
    </row>
    <row r="185" spans="1:10" x14ac:dyDescent="0.3">
      <c r="A185" t="s">
        <v>221</v>
      </c>
      <c r="B185" t="s">
        <v>222</v>
      </c>
      <c r="C185" t="s">
        <v>1301</v>
      </c>
      <c r="D185" t="s">
        <v>1301</v>
      </c>
      <c r="E185" t="s">
        <v>1301</v>
      </c>
      <c r="F185" t="s">
        <v>1301</v>
      </c>
      <c r="G185" t="s">
        <v>1301</v>
      </c>
      <c r="H185" t="s">
        <v>1301</v>
      </c>
      <c r="I185" t="s">
        <v>1301</v>
      </c>
      <c r="J185" t="s">
        <v>1301</v>
      </c>
    </row>
    <row r="186" spans="1:10" x14ac:dyDescent="0.3">
      <c r="A186" t="s">
        <v>982</v>
      </c>
      <c r="B186" t="s">
        <v>983</v>
      </c>
      <c r="C186" t="s">
        <v>1301</v>
      </c>
      <c r="D186" t="s">
        <v>1301</v>
      </c>
      <c r="E186" t="s">
        <v>1301</v>
      </c>
      <c r="F186" t="s">
        <v>1301</v>
      </c>
      <c r="G186" t="s">
        <v>1301</v>
      </c>
      <c r="H186" t="s">
        <v>1301</v>
      </c>
      <c r="I186" t="s">
        <v>1301</v>
      </c>
      <c r="J186" t="s">
        <v>1301</v>
      </c>
    </row>
    <row r="187" spans="1:10" x14ac:dyDescent="0.3">
      <c r="A187" t="s">
        <v>1349</v>
      </c>
      <c r="B187" t="s">
        <v>1350</v>
      </c>
      <c r="C187" t="s">
        <v>1301</v>
      </c>
      <c r="D187" t="s">
        <v>1301</v>
      </c>
      <c r="E187" t="s">
        <v>1301</v>
      </c>
      <c r="F187" t="s">
        <v>1301</v>
      </c>
      <c r="G187" t="s">
        <v>1301</v>
      </c>
      <c r="H187" t="s">
        <v>1301</v>
      </c>
      <c r="I187" t="s">
        <v>1301</v>
      </c>
      <c r="J187" t="s">
        <v>1301</v>
      </c>
    </row>
    <row r="188" spans="1:10" x14ac:dyDescent="0.3">
      <c r="A188" t="s">
        <v>223</v>
      </c>
      <c r="B188" t="s">
        <v>224</v>
      </c>
      <c r="C188" t="s">
        <v>1301</v>
      </c>
      <c r="D188" t="s">
        <v>1301</v>
      </c>
      <c r="E188" t="s">
        <v>1301</v>
      </c>
      <c r="F188" t="s">
        <v>1301</v>
      </c>
      <c r="G188" t="s">
        <v>1301</v>
      </c>
      <c r="H188" t="s">
        <v>1301</v>
      </c>
      <c r="I188" t="s">
        <v>1301</v>
      </c>
      <c r="J188" t="s">
        <v>1301</v>
      </c>
    </row>
    <row r="189" spans="1:10" x14ac:dyDescent="0.3">
      <c r="A189" t="s">
        <v>225</v>
      </c>
      <c r="B189" t="s">
        <v>226</v>
      </c>
      <c r="C189" t="s">
        <v>1301</v>
      </c>
      <c r="D189" t="s">
        <v>1301</v>
      </c>
      <c r="E189" t="s">
        <v>1301</v>
      </c>
      <c r="F189" t="s">
        <v>1301</v>
      </c>
      <c r="G189" t="s">
        <v>1301</v>
      </c>
      <c r="H189" t="s">
        <v>1301</v>
      </c>
      <c r="I189" t="s">
        <v>1301</v>
      </c>
      <c r="J189" t="s">
        <v>1301</v>
      </c>
    </row>
    <row r="190" spans="1:10" x14ac:dyDescent="0.3">
      <c r="A190" t="s">
        <v>227</v>
      </c>
      <c r="B190" t="s">
        <v>228</v>
      </c>
      <c r="C190" t="s">
        <v>1301</v>
      </c>
      <c r="D190" t="s">
        <v>1301</v>
      </c>
      <c r="E190" t="s">
        <v>1301</v>
      </c>
      <c r="F190" t="s">
        <v>1301</v>
      </c>
      <c r="G190" t="s">
        <v>1301</v>
      </c>
      <c r="H190" t="s">
        <v>1301</v>
      </c>
      <c r="I190" t="s">
        <v>1301</v>
      </c>
      <c r="J190" t="s">
        <v>1301</v>
      </c>
    </row>
    <row r="191" spans="1:10" x14ac:dyDescent="0.3">
      <c r="A191" t="s">
        <v>229</v>
      </c>
      <c r="B191" t="s">
        <v>114</v>
      </c>
      <c r="C191" t="s">
        <v>1301</v>
      </c>
      <c r="D191" t="s">
        <v>1301</v>
      </c>
      <c r="E191" t="s">
        <v>1301</v>
      </c>
      <c r="F191" t="s">
        <v>1301</v>
      </c>
      <c r="G191" t="s">
        <v>1301</v>
      </c>
      <c r="H191" t="s">
        <v>1301</v>
      </c>
      <c r="I191" t="s">
        <v>1301</v>
      </c>
      <c r="J191" t="s">
        <v>1301</v>
      </c>
    </row>
    <row r="192" spans="1:10" x14ac:dyDescent="0.3">
      <c r="A192" t="s">
        <v>230</v>
      </c>
      <c r="B192" t="s">
        <v>218</v>
      </c>
      <c r="C192" t="s">
        <v>1301</v>
      </c>
      <c r="D192" t="s">
        <v>1301</v>
      </c>
      <c r="E192" t="s">
        <v>1301</v>
      </c>
      <c r="F192" t="s">
        <v>1301</v>
      </c>
      <c r="G192" t="s">
        <v>1301</v>
      </c>
      <c r="H192" t="s">
        <v>1301</v>
      </c>
      <c r="I192" t="s">
        <v>1301</v>
      </c>
      <c r="J192" t="s">
        <v>1301</v>
      </c>
    </row>
    <row r="193" spans="1:10" x14ac:dyDescent="0.3">
      <c r="A193" t="s">
        <v>231</v>
      </c>
      <c r="B193" t="s">
        <v>232</v>
      </c>
      <c r="C193" t="s">
        <v>1301</v>
      </c>
      <c r="D193" t="s">
        <v>1301</v>
      </c>
      <c r="E193" t="s">
        <v>1301</v>
      </c>
      <c r="F193" t="s">
        <v>1301</v>
      </c>
      <c r="G193" t="s">
        <v>1301</v>
      </c>
      <c r="H193" t="s">
        <v>1301</v>
      </c>
      <c r="I193" t="s">
        <v>1301</v>
      </c>
      <c r="J193" t="s">
        <v>1301</v>
      </c>
    </row>
    <row r="194" spans="1:10" x14ac:dyDescent="0.3">
      <c r="A194" t="s">
        <v>984</v>
      </c>
      <c r="B194" t="s">
        <v>985</v>
      </c>
      <c r="C194" t="s">
        <v>1301</v>
      </c>
      <c r="D194" t="s">
        <v>1301</v>
      </c>
      <c r="E194" t="s">
        <v>1301</v>
      </c>
      <c r="F194" t="s">
        <v>1301</v>
      </c>
      <c r="G194" t="s">
        <v>1301</v>
      </c>
      <c r="H194" t="s">
        <v>1301</v>
      </c>
      <c r="I194" t="s">
        <v>1301</v>
      </c>
      <c r="J194" t="s">
        <v>1301</v>
      </c>
    </row>
    <row r="195" spans="1:10" x14ac:dyDescent="0.3">
      <c r="A195" t="s">
        <v>986</v>
      </c>
      <c r="B195" t="s">
        <v>987</v>
      </c>
      <c r="C195" t="s">
        <v>1301</v>
      </c>
      <c r="D195" t="s">
        <v>1301</v>
      </c>
      <c r="E195" t="s">
        <v>1301</v>
      </c>
      <c r="F195" t="s">
        <v>1301</v>
      </c>
      <c r="G195" t="s">
        <v>1301</v>
      </c>
      <c r="H195" t="s">
        <v>1301</v>
      </c>
      <c r="I195" t="s">
        <v>1301</v>
      </c>
      <c r="J195" t="s">
        <v>1301</v>
      </c>
    </row>
    <row r="196" spans="1:10" x14ac:dyDescent="0.3">
      <c r="A196" t="s">
        <v>1351</v>
      </c>
      <c r="B196" t="s">
        <v>1352</v>
      </c>
      <c r="C196" t="s">
        <v>1301</v>
      </c>
      <c r="D196" t="s">
        <v>1301</v>
      </c>
      <c r="E196" t="s">
        <v>1301</v>
      </c>
      <c r="F196" t="s">
        <v>1301</v>
      </c>
      <c r="G196" t="s">
        <v>1301</v>
      </c>
      <c r="H196" t="s">
        <v>1301</v>
      </c>
      <c r="I196" t="s">
        <v>1301</v>
      </c>
      <c r="J196" t="s">
        <v>1301</v>
      </c>
    </row>
    <row r="197" spans="1:10" x14ac:dyDescent="0.3">
      <c r="A197" t="s">
        <v>1353</v>
      </c>
      <c r="B197" t="s">
        <v>1354</v>
      </c>
      <c r="C197" t="s">
        <v>1301</v>
      </c>
      <c r="D197" t="s">
        <v>1301</v>
      </c>
      <c r="E197" t="s">
        <v>1301</v>
      </c>
      <c r="F197" t="s">
        <v>1301</v>
      </c>
      <c r="G197" t="s">
        <v>1301</v>
      </c>
      <c r="H197" t="s">
        <v>1301</v>
      </c>
      <c r="I197" t="s">
        <v>1301</v>
      </c>
      <c r="J197" t="s">
        <v>1301</v>
      </c>
    </row>
    <row r="198" spans="1:10" x14ac:dyDescent="0.3">
      <c r="A198" t="s">
        <v>518</v>
      </c>
      <c r="B198" t="s">
        <v>519</v>
      </c>
      <c r="C198" t="s">
        <v>1301</v>
      </c>
      <c r="D198" t="s">
        <v>1301</v>
      </c>
      <c r="E198" t="s">
        <v>1301</v>
      </c>
      <c r="F198" t="s">
        <v>1301</v>
      </c>
      <c r="G198" t="s">
        <v>1301</v>
      </c>
      <c r="H198" t="s">
        <v>1301</v>
      </c>
      <c r="I198" t="s">
        <v>1301</v>
      </c>
      <c r="J198" t="s">
        <v>1301</v>
      </c>
    </row>
    <row r="199" spans="1:10" x14ac:dyDescent="0.3">
      <c r="A199" t="s">
        <v>1355</v>
      </c>
      <c r="B199" t="s">
        <v>1356</v>
      </c>
      <c r="C199" t="s">
        <v>1301</v>
      </c>
      <c r="D199" t="s">
        <v>1301</v>
      </c>
      <c r="E199" t="s">
        <v>1301</v>
      </c>
      <c r="F199" t="s">
        <v>1301</v>
      </c>
      <c r="G199" t="s">
        <v>1301</v>
      </c>
      <c r="H199" t="s">
        <v>1301</v>
      </c>
      <c r="I199" t="s">
        <v>1301</v>
      </c>
      <c r="J199" t="s">
        <v>1301</v>
      </c>
    </row>
    <row r="200" spans="1:10" x14ac:dyDescent="0.3">
      <c r="A200" t="s">
        <v>988</v>
      </c>
      <c r="B200" t="s">
        <v>989</v>
      </c>
      <c r="C200" t="s">
        <v>1301</v>
      </c>
      <c r="D200" t="s">
        <v>1301</v>
      </c>
      <c r="E200" t="s">
        <v>1301</v>
      </c>
      <c r="F200" t="s">
        <v>1301</v>
      </c>
      <c r="G200" t="s">
        <v>1301</v>
      </c>
      <c r="H200" t="s">
        <v>1301</v>
      </c>
      <c r="I200" t="s">
        <v>1301</v>
      </c>
      <c r="J200" t="s">
        <v>1301</v>
      </c>
    </row>
    <row r="201" spans="1:10" x14ac:dyDescent="0.3">
      <c r="A201" t="s">
        <v>235</v>
      </c>
      <c r="B201" t="s">
        <v>581</v>
      </c>
      <c r="C201" t="s">
        <v>1301</v>
      </c>
      <c r="D201" t="s">
        <v>1301</v>
      </c>
      <c r="E201" t="s">
        <v>1301</v>
      </c>
      <c r="F201" t="s">
        <v>1301</v>
      </c>
      <c r="G201" t="s">
        <v>1301</v>
      </c>
      <c r="H201" t="s">
        <v>1301</v>
      </c>
      <c r="I201" t="s">
        <v>1301</v>
      </c>
      <c r="J201" t="s">
        <v>1301</v>
      </c>
    </row>
    <row r="202" spans="1:10" x14ac:dyDescent="0.3">
      <c r="A202" t="s">
        <v>1357</v>
      </c>
      <c r="B202" t="s">
        <v>1358</v>
      </c>
      <c r="C202" t="s">
        <v>1301</v>
      </c>
      <c r="D202" t="s">
        <v>1301</v>
      </c>
      <c r="E202" t="s">
        <v>1301</v>
      </c>
      <c r="F202" t="s">
        <v>1301</v>
      </c>
      <c r="G202" t="s">
        <v>1301</v>
      </c>
      <c r="H202" t="s">
        <v>1301</v>
      </c>
      <c r="I202" t="s">
        <v>1301</v>
      </c>
      <c r="J202" t="s">
        <v>1301</v>
      </c>
    </row>
    <row r="203" spans="1:10" x14ac:dyDescent="0.3">
      <c r="A203" t="s">
        <v>237</v>
      </c>
      <c r="B203" t="s">
        <v>238</v>
      </c>
      <c r="C203" t="s">
        <v>1301</v>
      </c>
      <c r="D203" t="s">
        <v>1301</v>
      </c>
      <c r="E203" t="s">
        <v>1301</v>
      </c>
      <c r="F203" t="s">
        <v>1301</v>
      </c>
      <c r="G203" t="s">
        <v>1301</v>
      </c>
      <c r="H203" t="s">
        <v>1301</v>
      </c>
      <c r="I203" t="s">
        <v>1301</v>
      </c>
      <c r="J203" t="s">
        <v>1301</v>
      </c>
    </row>
    <row r="204" spans="1:10" x14ac:dyDescent="0.3">
      <c r="A204" t="s">
        <v>990</v>
      </c>
      <c r="B204" t="s">
        <v>991</v>
      </c>
      <c r="C204" t="s">
        <v>1301</v>
      </c>
      <c r="D204" t="s">
        <v>1301</v>
      </c>
      <c r="E204" t="s">
        <v>1301</v>
      </c>
      <c r="F204" t="s">
        <v>1301</v>
      </c>
      <c r="G204" t="s">
        <v>1301</v>
      </c>
      <c r="H204" t="s">
        <v>1301</v>
      </c>
      <c r="I204" t="s">
        <v>1301</v>
      </c>
      <c r="J204" t="s">
        <v>1301</v>
      </c>
    </row>
    <row r="205" spans="1:10" x14ac:dyDescent="0.3">
      <c r="A205" t="s">
        <v>992</v>
      </c>
      <c r="B205" t="s">
        <v>993</v>
      </c>
      <c r="C205" t="s">
        <v>1301</v>
      </c>
      <c r="D205" t="s">
        <v>1301</v>
      </c>
      <c r="E205" t="s">
        <v>1301</v>
      </c>
      <c r="F205" t="s">
        <v>1301</v>
      </c>
      <c r="G205" t="s">
        <v>1301</v>
      </c>
      <c r="H205" t="s">
        <v>1301</v>
      </c>
      <c r="I205" t="s">
        <v>1301</v>
      </c>
      <c r="J205" t="s">
        <v>1301</v>
      </c>
    </row>
    <row r="206" spans="1:10" x14ac:dyDescent="0.3">
      <c r="A206" t="s">
        <v>239</v>
      </c>
      <c r="B206" t="s">
        <v>240</v>
      </c>
      <c r="C206" t="s">
        <v>1301</v>
      </c>
      <c r="D206" t="s">
        <v>1301</v>
      </c>
      <c r="E206" t="s">
        <v>1301</v>
      </c>
      <c r="F206" t="s">
        <v>1301</v>
      </c>
      <c r="G206" t="s">
        <v>1301</v>
      </c>
      <c r="H206" t="s">
        <v>1301</v>
      </c>
      <c r="I206" t="s">
        <v>1301</v>
      </c>
      <c r="J206" t="s">
        <v>1301</v>
      </c>
    </row>
    <row r="207" spans="1:10" x14ac:dyDescent="0.3">
      <c r="A207" t="s">
        <v>241</v>
      </c>
      <c r="B207" t="s">
        <v>242</v>
      </c>
      <c r="C207" t="s">
        <v>1301</v>
      </c>
      <c r="D207" t="s">
        <v>1301</v>
      </c>
      <c r="E207" t="s">
        <v>1301</v>
      </c>
      <c r="F207" t="s">
        <v>1301</v>
      </c>
      <c r="G207" t="s">
        <v>1301</v>
      </c>
      <c r="H207" t="s">
        <v>1301</v>
      </c>
      <c r="I207" t="s">
        <v>1301</v>
      </c>
      <c r="J207" t="s">
        <v>1301</v>
      </c>
    </row>
    <row r="208" spans="1:10" x14ac:dyDescent="0.3">
      <c r="A208" t="s">
        <v>1359</v>
      </c>
      <c r="B208" t="s">
        <v>1360</v>
      </c>
      <c r="C208" t="s">
        <v>1301</v>
      </c>
      <c r="D208" t="s">
        <v>1301</v>
      </c>
      <c r="E208" t="s">
        <v>1301</v>
      </c>
      <c r="F208" t="s">
        <v>1301</v>
      </c>
      <c r="G208" t="s">
        <v>1301</v>
      </c>
      <c r="H208" t="s">
        <v>1301</v>
      </c>
      <c r="I208" t="s">
        <v>1301</v>
      </c>
      <c r="J208" t="s">
        <v>1301</v>
      </c>
    </row>
    <row r="209" spans="1:10" x14ac:dyDescent="0.3">
      <c r="A209" t="s">
        <v>994</v>
      </c>
      <c r="B209" t="s">
        <v>995</v>
      </c>
      <c r="C209" t="s">
        <v>1301</v>
      </c>
      <c r="D209" t="s">
        <v>1301</v>
      </c>
      <c r="E209" t="s">
        <v>1301</v>
      </c>
      <c r="F209" t="s">
        <v>1301</v>
      </c>
      <c r="G209" t="s">
        <v>1301</v>
      </c>
      <c r="H209" t="s">
        <v>1301</v>
      </c>
      <c r="I209" t="s">
        <v>1301</v>
      </c>
      <c r="J209" t="s">
        <v>1301</v>
      </c>
    </row>
    <row r="210" spans="1:10" x14ac:dyDescent="0.3">
      <c r="A210" t="s">
        <v>996</v>
      </c>
      <c r="B210" t="s">
        <v>997</v>
      </c>
      <c r="C210" t="s">
        <v>1301</v>
      </c>
      <c r="D210" t="s">
        <v>1301</v>
      </c>
      <c r="E210" t="s">
        <v>1301</v>
      </c>
      <c r="F210" t="s">
        <v>1301</v>
      </c>
      <c r="G210" t="s">
        <v>1301</v>
      </c>
      <c r="H210" t="s">
        <v>1301</v>
      </c>
      <c r="I210" t="s">
        <v>1301</v>
      </c>
      <c r="J210" t="s">
        <v>1301</v>
      </c>
    </row>
    <row r="211" spans="1:10" x14ac:dyDescent="0.3">
      <c r="A211" t="s">
        <v>243</v>
      </c>
      <c r="B211" t="s">
        <v>244</v>
      </c>
      <c r="C211" t="s">
        <v>1301</v>
      </c>
      <c r="D211" t="s">
        <v>1301</v>
      </c>
      <c r="E211" t="s">
        <v>1301</v>
      </c>
      <c r="F211" t="s">
        <v>1301</v>
      </c>
      <c r="G211" t="s">
        <v>1301</v>
      </c>
      <c r="H211" t="s">
        <v>1301</v>
      </c>
      <c r="I211" t="s">
        <v>1301</v>
      </c>
      <c r="J211" t="s">
        <v>1301</v>
      </c>
    </row>
    <row r="212" spans="1:10" x14ac:dyDescent="0.3">
      <c r="A212" t="s">
        <v>1361</v>
      </c>
      <c r="B212" t="s">
        <v>1362</v>
      </c>
      <c r="C212" t="s">
        <v>1301</v>
      </c>
      <c r="D212" t="s">
        <v>1301</v>
      </c>
      <c r="E212" t="s">
        <v>1301</v>
      </c>
      <c r="F212" t="s">
        <v>1301</v>
      </c>
      <c r="G212" t="s">
        <v>1301</v>
      </c>
      <c r="H212" t="s">
        <v>1301</v>
      </c>
      <c r="I212" t="s">
        <v>1301</v>
      </c>
      <c r="J212" t="s">
        <v>1301</v>
      </c>
    </row>
    <row r="213" spans="1:10" x14ac:dyDescent="0.3">
      <c r="A213" t="s">
        <v>1363</v>
      </c>
      <c r="B213" t="s">
        <v>1364</v>
      </c>
      <c r="C213" t="s">
        <v>1301</v>
      </c>
      <c r="D213" t="s">
        <v>1301</v>
      </c>
      <c r="E213" t="s">
        <v>1301</v>
      </c>
      <c r="F213" t="s">
        <v>1301</v>
      </c>
      <c r="G213" t="s">
        <v>1301</v>
      </c>
      <c r="H213" t="s">
        <v>1301</v>
      </c>
      <c r="I213" t="s">
        <v>1301</v>
      </c>
      <c r="J213" t="s">
        <v>1301</v>
      </c>
    </row>
    <row r="214" spans="1:10" x14ac:dyDescent="0.3">
      <c r="A214" t="s">
        <v>998</v>
      </c>
      <c r="B214" t="s">
        <v>999</v>
      </c>
      <c r="C214" t="s">
        <v>1301</v>
      </c>
      <c r="D214" t="s">
        <v>1301</v>
      </c>
      <c r="E214" t="s">
        <v>1301</v>
      </c>
      <c r="F214" t="s">
        <v>1301</v>
      </c>
      <c r="G214" t="s">
        <v>1301</v>
      </c>
      <c r="H214" t="s">
        <v>1301</v>
      </c>
      <c r="I214" t="s">
        <v>1301</v>
      </c>
      <c r="J214" t="s">
        <v>1301</v>
      </c>
    </row>
    <row r="215" spans="1:10" x14ac:dyDescent="0.3">
      <c r="A215" t="s">
        <v>1365</v>
      </c>
      <c r="B215" t="s">
        <v>1366</v>
      </c>
      <c r="C215" t="s">
        <v>1301</v>
      </c>
      <c r="D215" t="s">
        <v>1301</v>
      </c>
      <c r="E215" t="s">
        <v>1301</v>
      </c>
      <c r="F215" t="s">
        <v>1301</v>
      </c>
      <c r="G215" t="s">
        <v>1301</v>
      </c>
      <c r="H215" t="s">
        <v>1301</v>
      </c>
      <c r="I215" t="s">
        <v>1301</v>
      </c>
      <c r="J215" t="s">
        <v>1301</v>
      </c>
    </row>
    <row r="216" spans="1:10" x14ac:dyDescent="0.3">
      <c r="A216" t="s">
        <v>245</v>
      </c>
      <c r="B216" t="s">
        <v>246</v>
      </c>
      <c r="C216" t="s">
        <v>1301</v>
      </c>
      <c r="D216" t="s">
        <v>1301</v>
      </c>
      <c r="E216" t="s">
        <v>1301</v>
      </c>
      <c r="F216" t="s">
        <v>1301</v>
      </c>
      <c r="G216" t="s">
        <v>1301</v>
      </c>
      <c r="H216" t="s">
        <v>1301</v>
      </c>
      <c r="I216" t="s">
        <v>1301</v>
      </c>
      <c r="J216" t="s">
        <v>1301</v>
      </c>
    </row>
    <row r="217" spans="1:10" x14ac:dyDescent="0.3">
      <c r="A217" t="s">
        <v>1000</v>
      </c>
      <c r="B217" t="s">
        <v>1001</v>
      </c>
      <c r="C217" t="s">
        <v>1301</v>
      </c>
      <c r="D217" t="s">
        <v>1301</v>
      </c>
      <c r="E217" t="s">
        <v>1301</v>
      </c>
      <c r="F217" t="s">
        <v>1301</v>
      </c>
      <c r="G217" t="s">
        <v>1301</v>
      </c>
      <c r="H217" t="s">
        <v>1301</v>
      </c>
      <c r="I217" t="s">
        <v>1301</v>
      </c>
      <c r="J217" t="s">
        <v>1301</v>
      </c>
    </row>
    <row r="218" spans="1:10" x14ac:dyDescent="0.3">
      <c r="A218" t="s">
        <v>247</v>
      </c>
      <c r="B218" t="s">
        <v>248</v>
      </c>
      <c r="C218" t="s">
        <v>1301</v>
      </c>
      <c r="D218" t="s">
        <v>1301</v>
      </c>
      <c r="E218" t="s">
        <v>1301</v>
      </c>
      <c r="F218" t="s">
        <v>1301</v>
      </c>
      <c r="G218" t="s">
        <v>1301</v>
      </c>
      <c r="H218" t="s">
        <v>1301</v>
      </c>
      <c r="I218" t="s">
        <v>1301</v>
      </c>
      <c r="J218" t="s">
        <v>1301</v>
      </c>
    </row>
    <row r="219" spans="1:10" x14ac:dyDescent="0.3">
      <c r="A219" t="s">
        <v>249</v>
      </c>
      <c r="B219" t="s">
        <v>250</v>
      </c>
      <c r="C219" t="s">
        <v>1301</v>
      </c>
      <c r="D219" t="s">
        <v>1301</v>
      </c>
      <c r="E219" t="s">
        <v>1301</v>
      </c>
      <c r="F219" t="s">
        <v>1301</v>
      </c>
      <c r="G219" t="s">
        <v>1301</v>
      </c>
      <c r="H219" t="s">
        <v>1301</v>
      </c>
      <c r="I219" t="s">
        <v>1301</v>
      </c>
      <c r="J219" t="s">
        <v>1301</v>
      </c>
    </row>
    <row r="220" spans="1:10" x14ac:dyDescent="0.3">
      <c r="A220" t="s">
        <v>1002</v>
      </c>
      <c r="B220" t="s">
        <v>164</v>
      </c>
      <c r="C220" t="s">
        <v>1301</v>
      </c>
      <c r="D220" t="s">
        <v>1301</v>
      </c>
      <c r="E220" t="s">
        <v>1301</v>
      </c>
      <c r="F220" t="s">
        <v>1301</v>
      </c>
      <c r="G220" t="s">
        <v>1301</v>
      </c>
      <c r="H220" t="s">
        <v>1301</v>
      </c>
      <c r="I220" t="s">
        <v>1301</v>
      </c>
      <c r="J220" t="s">
        <v>1301</v>
      </c>
    </row>
    <row r="221" spans="1:10" x14ac:dyDescent="0.3">
      <c r="A221" t="s">
        <v>251</v>
      </c>
      <c r="B221" t="s">
        <v>252</v>
      </c>
      <c r="C221" t="s">
        <v>1301</v>
      </c>
      <c r="D221" t="s">
        <v>1301</v>
      </c>
      <c r="E221" t="s">
        <v>1301</v>
      </c>
      <c r="F221" t="s">
        <v>1301</v>
      </c>
      <c r="G221" t="s">
        <v>1301</v>
      </c>
      <c r="H221" t="s">
        <v>1301</v>
      </c>
      <c r="I221" t="s">
        <v>1301</v>
      </c>
      <c r="J221" t="s">
        <v>1301</v>
      </c>
    </row>
    <row r="222" spans="1:10" x14ac:dyDescent="0.3">
      <c r="A222" t="s">
        <v>1367</v>
      </c>
      <c r="B222" t="s">
        <v>1368</v>
      </c>
      <c r="C222" t="s">
        <v>1301</v>
      </c>
      <c r="D222" t="s">
        <v>1301</v>
      </c>
      <c r="E222" t="s">
        <v>1301</v>
      </c>
      <c r="F222" t="s">
        <v>1301</v>
      </c>
      <c r="G222" t="s">
        <v>1301</v>
      </c>
      <c r="H222" t="s">
        <v>1301</v>
      </c>
      <c r="I222" t="s">
        <v>1301</v>
      </c>
      <c r="J222" t="s">
        <v>1301</v>
      </c>
    </row>
    <row r="223" spans="1:10" x14ac:dyDescent="0.3">
      <c r="A223" t="s">
        <v>253</v>
      </c>
      <c r="B223" t="s">
        <v>254</v>
      </c>
      <c r="C223" t="s">
        <v>1301</v>
      </c>
      <c r="D223" t="s">
        <v>1301</v>
      </c>
      <c r="E223" t="s">
        <v>1301</v>
      </c>
      <c r="F223" t="s">
        <v>1301</v>
      </c>
      <c r="G223" t="s">
        <v>1301</v>
      </c>
      <c r="H223" t="s">
        <v>1301</v>
      </c>
      <c r="I223" t="s">
        <v>1301</v>
      </c>
      <c r="J223" t="s">
        <v>1301</v>
      </c>
    </row>
    <row r="224" spans="1:10" x14ac:dyDescent="0.3">
      <c r="A224" t="s">
        <v>255</v>
      </c>
      <c r="B224" t="s">
        <v>256</v>
      </c>
      <c r="C224" t="s">
        <v>1301</v>
      </c>
      <c r="D224" t="s">
        <v>1301</v>
      </c>
      <c r="E224" t="s">
        <v>1301</v>
      </c>
      <c r="F224" t="s">
        <v>1301</v>
      </c>
      <c r="G224" t="s">
        <v>1301</v>
      </c>
      <c r="H224" t="s">
        <v>1301</v>
      </c>
      <c r="I224" t="s">
        <v>1301</v>
      </c>
      <c r="J224" t="s">
        <v>1301</v>
      </c>
    </row>
    <row r="225" spans="1:10" x14ac:dyDescent="0.3">
      <c r="A225" t="s">
        <v>1003</v>
      </c>
      <c r="B225" t="s">
        <v>1004</v>
      </c>
      <c r="C225" t="s">
        <v>1301</v>
      </c>
      <c r="D225" t="s">
        <v>1301</v>
      </c>
      <c r="E225" t="s">
        <v>1301</v>
      </c>
      <c r="F225" t="s">
        <v>1301</v>
      </c>
      <c r="G225" t="s">
        <v>1301</v>
      </c>
      <c r="H225" t="s">
        <v>1301</v>
      </c>
      <c r="I225" t="s">
        <v>1301</v>
      </c>
      <c r="J225" t="s">
        <v>1301</v>
      </c>
    </row>
    <row r="226" spans="1:10" x14ac:dyDescent="0.3">
      <c r="A226" t="s">
        <v>257</v>
      </c>
      <c r="B226" t="s">
        <v>258</v>
      </c>
      <c r="C226" t="s">
        <v>1301</v>
      </c>
      <c r="D226" t="s">
        <v>1301</v>
      </c>
      <c r="E226" t="s">
        <v>1301</v>
      </c>
      <c r="F226" t="s">
        <v>1301</v>
      </c>
      <c r="G226" t="s">
        <v>1301</v>
      </c>
      <c r="H226" t="s">
        <v>1301</v>
      </c>
      <c r="I226" t="s">
        <v>1301</v>
      </c>
      <c r="J226" t="s">
        <v>1301</v>
      </c>
    </row>
    <row r="227" spans="1:10" x14ac:dyDescent="0.3">
      <c r="A227" t="s">
        <v>582</v>
      </c>
      <c r="B227" t="s">
        <v>583</v>
      </c>
      <c r="C227" t="s">
        <v>1301</v>
      </c>
      <c r="D227" t="s">
        <v>1301</v>
      </c>
      <c r="E227" t="s">
        <v>1301</v>
      </c>
      <c r="F227" t="s">
        <v>1301</v>
      </c>
      <c r="G227" t="s">
        <v>1301</v>
      </c>
      <c r="H227" t="s">
        <v>1301</v>
      </c>
      <c r="I227" t="s">
        <v>1301</v>
      </c>
      <c r="J227" t="s">
        <v>1301</v>
      </c>
    </row>
    <row r="228" spans="1:10" x14ac:dyDescent="0.3">
      <c r="A228" t="s">
        <v>259</v>
      </c>
      <c r="B228" t="s">
        <v>260</v>
      </c>
      <c r="C228" t="s">
        <v>1301</v>
      </c>
      <c r="D228" t="s">
        <v>1301</v>
      </c>
      <c r="E228" t="s">
        <v>1301</v>
      </c>
      <c r="F228" t="s">
        <v>1301</v>
      </c>
      <c r="G228" t="s">
        <v>1301</v>
      </c>
      <c r="H228" t="s">
        <v>1301</v>
      </c>
      <c r="I228" t="s">
        <v>1301</v>
      </c>
      <c r="J228" t="s">
        <v>1301</v>
      </c>
    </row>
    <row r="229" spans="1:10" x14ac:dyDescent="0.3">
      <c r="A229" t="s">
        <v>1005</v>
      </c>
      <c r="B229" t="s">
        <v>1006</v>
      </c>
      <c r="C229" t="s">
        <v>1301</v>
      </c>
      <c r="D229" t="s">
        <v>1301</v>
      </c>
      <c r="E229" t="s">
        <v>1301</v>
      </c>
      <c r="F229" t="s">
        <v>1301</v>
      </c>
      <c r="G229" t="s">
        <v>1301</v>
      </c>
      <c r="H229" t="s">
        <v>1301</v>
      </c>
      <c r="I229" t="s">
        <v>1301</v>
      </c>
      <c r="J229" t="s">
        <v>1301</v>
      </c>
    </row>
    <row r="230" spans="1:10" x14ac:dyDescent="0.3">
      <c r="A230" t="s">
        <v>261</v>
      </c>
      <c r="B230" t="s">
        <v>262</v>
      </c>
      <c r="C230" t="s">
        <v>1301</v>
      </c>
      <c r="D230" t="s">
        <v>1301</v>
      </c>
      <c r="E230" t="s">
        <v>1301</v>
      </c>
      <c r="F230" t="s">
        <v>1301</v>
      </c>
      <c r="G230" t="s">
        <v>1301</v>
      </c>
      <c r="H230" t="s">
        <v>1301</v>
      </c>
      <c r="I230" t="s">
        <v>1301</v>
      </c>
      <c r="J230" t="s">
        <v>1301</v>
      </c>
    </row>
    <row r="231" spans="1:10" x14ac:dyDescent="0.3">
      <c r="A231" t="s">
        <v>1007</v>
      </c>
      <c r="B231" t="s">
        <v>1008</v>
      </c>
      <c r="C231" t="s">
        <v>1301</v>
      </c>
      <c r="D231" t="s">
        <v>1301</v>
      </c>
      <c r="E231" t="s">
        <v>1301</v>
      </c>
      <c r="F231" t="s">
        <v>1301</v>
      </c>
      <c r="G231" t="s">
        <v>1301</v>
      </c>
      <c r="H231" t="s">
        <v>1301</v>
      </c>
      <c r="I231" t="s">
        <v>1301</v>
      </c>
      <c r="J231" t="s">
        <v>1301</v>
      </c>
    </row>
    <row r="232" spans="1:10" x14ac:dyDescent="0.3">
      <c r="A232" t="s">
        <v>1009</v>
      </c>
      <c r="B232" t="s">
        <v>1010</v>
      </c>
      <c r="C232" t="s">
        <v>1301</v>
      </c>
      <c r="D232" t="s">
        <v>1301</v>
      </c>
      <c r="E232" t="s">
        <v>1301</v>
      </c>
      <c r="F232" t="s">
        <v>1301</v>
      </c>
      <c r="G232" t="s">
        <v>1301</v>
      </c>
      <c r="H232" t="s">
        <v>1301</v>
      </c>
      <c r="I232" t="s">
        <v>1301</v>
      </c>
      <c r="J232" t="s">
        <v>1301</v>
      </c>
    </row>
    <row r="233" spans="1:10" x14ac:dyDescent="0.3">
      <c r="A233" t="s">
        <v>263</v>
      </c>
      <c r="B233" t="s">
        <v>264</v>
      </c>
      <c r="C233" t="s">
        <v>1301</v>
      </c>
      <c r="D233" t="s">
        <v>1301</v>
      </c>
      <c r="E233" t="s">
        <v>1301</v>
      </c>
      <c r="F233" t="s">
        <v>1301</v>
      </c>
      <c r="G233" t="s">
        <v>1301</v>
      </c>
      <c r="H233" t="s">
        <v>1301</v>
      </c>
      <c r="I233" t="s">
        <v>1301</v>
      </c>
      <c r="J233" t="s">
        <v>1301</v>
      </c>
    </row>
    <row r="234" spans="1:10" x14ac:dyDescent="0.3">
      <c r="A234" t="s">
        <v>1369</v>
      </c>
      <c r="B234" t="s">
        <v>1370</v>
      </c>
      <c r="C234" t="s">
        <v>1301</v>
      </c>
      <c r="D234" t="s">
        <v>1301</v>
      </c>
      <c r="E234" t="s">
        <v>1301</v>
      </c>
      <c r="F234" t="s">
        <v>1301</v>
      </c>
      <c r="G234" t="s">
        <v>1301</v>
      </c>
      <c r="H234" t="s">
        <v>1301</v>
      </c>
      <c r="I234" t="s">
        <v>1301</v>
      </c>
      <c r="J234" t="s">
        <v>1301</v>
      </c>
    </row>
    <row r="235" spans="1:10" x14ac:dyDescent="0.3">
      <c r="A235" t="s">
        <v>265</v>
      </c>
      <c r="B235" t="s">
        <v>266</v>
      </c>
      <c r="C235" t="s">
        <v>1301</v>
      </c>
      <c r="D235" t="s">
        <v>1301</v>
      </c>
      <c r="E235" t="s">
        <v>1301</v>
      </c>
      <c r="F235" t="s">
        <v>1301</v>
      </c>
      <c r="G235" t="s">
        <v>1301</v>
      </c>
      <c r="H235" t="s">
        <v>1301</v>
      </c>
      <c r="I235" t="s">
        <v>1301</v>
      </c>
      <c r="J235" t="s">
        <v>1301</v>
      </c>
    </row>
    <row r="236" spans="1:10" x14ac:dyDescent="0.3">
      <c r="A236" t="s">
        <v>1371</v>
      </c>
      <c r="B236" t="s">
        <v>1372</v>
      </c>
      <c r="C236" t="s">
        <v>1301</v>
      </c>
      <c r="D236" t="s">
        <v>1301</v>
      </c>
      <c r="E236" t="s">
        <v>1301</v>
      </c>
      <c r="F236" t="s">
        <v>1301</v>
      </c>
      <c r="G236" t="s">
        <v>1301</v>
      </c>
      <c r="H236" t="s">
        <v>1301</v>
      </c>
      <c r="I236" t="s">
        <v>1301</v>
      </c>
      <c r="J236" t="s">
        <v>1301</v>
      </c>
    </row>
    <row r="237" spans="1:10" x14ac:dyDescent="0.3">
      <c r="A237" t="s">
        <v>1371</v>
      </c>
      <c r="B237" t="s">
        <v>1373</v>
      </c>
      <c r="C237" t="s">
        <v>1301</v>
      </c>
      <c r="D237" t="s">
        <v>1301</v>
      </c>
      <c r="E237" t="s">
        <v>1301</v>
      </c>
      <c r="F237" t="s">
        <v>1301</v>
      </c>
      <c r="G237" t="s">
        <v>1301</v>
      </c>
      <c r="H237" t="s">
        <v>1301</v>
      </c>
      <c r="I237" t="s">
        <v>1301</v>
      </c>
      <c r="J237" t="s">
        <v>1301</v>
      </c>
    </row>
    <row r="238" spans="1:10" x14ac:dyDescent="0.3">
      <c r="A238" t="s">
        <v>1011</v>
      </c>
      <c r="B238" t="s">
        <v>1012</v>
      </c>
      <c r="C238" t="s">
        <v>1301</v>
      </c>
      <c r="D238" t="s">
        <v>1301</v>
      </c>
      <c r="E238" t="s">
        <v>1301</v>
      </c>
      <c r="F238" t="s">
        <v>1301</v>
      </c>
      <c r="G238" t="s">
        <v>1301</v>
      </c>
      <c r="H238" t="s">
        <v>1301</v>
      </c>
      <c r="I238" t="s">
        <v>1301</v>
      </c>
      <c r="J238" t="s">
        <v>1301</v>
      </c>
    </row>
    <row r="239" spans="1:10" x14ac:dyDescent="0.3">
      <c r="A239" t="s">
        <v>267</v>
      </c>
      <c r="B239" t="s">
        <v>268</v>
      </c>
      <c r="C239" t="s">
        <v>1301</v>
      </c>
      <c r="D239" t="s">
        <v>1301</v>
      </c>
      <c r="E239" t="s">
        <v>1301</v>
      </c>
      <c r="F239" t="s">
        <v>1301</v>
      </c>
      <c r="G239" t="s">
        <v>1301</v>
      </c>
      <c r="H239" t="s">
        <v>1301</v>
      </c>
      <c r="I239" t="s">
        <v>1301</v>
      </c>
      <c r="J239" t="s">
        <v>1301</v>
      </c>
    </row>
    <row r="240" spans="1:10" x14ac:dyDescent="0.3">
      <c r="A240" t="s">
        <v>1374</v>
      </c>
      <c r="B240" t="s">
        <v>1375</v>
      </c>
      <c r="C240" t="s">
        <v>1301</v>
      </c>
      <c r="D240" t="s">
        <v>1301</v>
      </c>
      <c r="E240" t="s">
        <v>1301</v>
      </c>
      <c r="F240" t="s">
        <v>1301</v>
      </c>
      <c r="G240" t="s">
        <v>1301</v>
      </c>
      <c r="H240" t="s">
        <v>1301</v>
      </c>
      <c r="I240" t="s">
        <v>1301</v>
      </c>
      <c r="J240" t="s">
        <v>1301</v>
      </c>
    </row>
    <row r="241" spans="1:10" x14ac:dyDescent="0.3">
      <c r="A241" t="s">
        <v>269</v>
      </c>
      <c r="B241" t="s">
        <v>270</v>
      </c>
      <c r="C241" t="s">
        <v>1301</v>
      </c>
      <c r="D241" t="s">
        <v>1301</v>
      </c>
      <c r="E241" t="s">
        <v>1301</v>
      </c>
      <c r="F241" t="s">
        <v>1301</v>
      </c>
      <c r="G241" t="s">
        <v>1301</v>
      </c>
      <c r="H241" t="s">
        <v>1301</v>
      </c>
      <c r="I241" t="s">
        <v>1301</v>
      </c>
      <c r="J241" t="s">
        <v>1301</v>
      </c>
    </row>
    <row r="242" spans="1:10" x14ac:dyDescent="0.3">
      <c r="A242" t="s">
        <v>1376</v>
      </c>
      <c r="B242" t="s">
        <v>1377</v>
      </c>
      <c r="C242" t="s">
        <v>1301</v>
      </c>
      <c r="D242" t="s">
        <v>1301</v>
      </c>
      <c r="E242" t="s">
        <v>1301</v>
      </c>
      <c r="F242" t="s">
        <v>1301</v>
      </c>
      <c r="G242" t="s">
        <v>1301</v>
      </c>
      <c r="H242" t="s">
        <v>1301</v>
      </c>
      <c r="I242" t="s">
        <v>1301</v>
      </c>
      <c r="J242" t="s">
        <v>1301</v>
      </c>
    </row>
    <row r="243" spans="1:10" x14ac:dyDescent="0.3">
      <c r="A243" t="s">
        <v>271</v>
      </c>
      <c r="B243" t="s">
        <v>272</v>
      </c>
      <c r="C243" t="s">
        <v>1301</v>
      </c>
      <c r="D243" t="s">
        <v>1301</v>
      </c>
      <c r="E243" t="s">
        <v>1301</v>
      </c>
      <c r="F243" t="s">
        <v>1301</v>
      </c>
      <c r="G243" t="s">
        <v>1301</v>
      </c>
      <c r="H243" t="s">
        <v>1301</v>
      </c>
      <c r="I243" t="s">
        <v>1301</v>
      </c>
      <c r="J243" t="s">
        <v>1301</v>
      </c>
    </row>
    <row r="244" spans="1:10" x14ac:dyDescent="0.3">
      <c r="A244" t="s">
        <v>1013</v>
      </c>
      <c r="B244" t="s">
        <v>1014</v>
      </c>
      <c r="C244" t="s">
        <v>1301</v>
      </c>
      <c r="D244" t="s">
        <v>1301</v>
      </c>
      <c r="E244" t="s">
        <v>1301</v>
      </c>
      <c r="F244" t="s">
        <v>1301</v>
      </c>
      <c r="G244" t="s">
        <v>1301</v>
      </c>
      <c r="H244" t="s">
        <v>1301</v>
      </c>
      <c r="I244" t="s">
        <v>1301</v>
      </c>
      <c r="J244" t="s">
        <v>1301</v>
      </c>
    </row>
    <row r="245" spans="1:10" x14ac:dyDescent="0.3">
      <c r="A245" t="s">
        <v>584</v>
      </c>
      <c r="B245" t="s">
        <v>585</v>
      </c>
      <c r="C245" t="s">
        <v>1301</v>
      </c>
      <c r="D245" t="s">
        <v>1301</v>
      </c>
      <c r="E245" t="s">
        <v>1301</v>
      </c>
      <c r="F245" t="s">
        <v>1301</v>
      </c>
      <c r="G245" t="s">
        <v>1301</v>
      </c>
      <c r="H245" t="s">
        <v>1301</v>
      </c>
      <c r="I245" t="s">
        <v>1301</v>
      </c>
      <c r="J245" t="s">
        <v>1301</v>
      </c>
    </row>
    <row r="246" spans="1:10" x14ac:dyDescent="0.3">
      <c r="A246" t="s">
        <v>273</v>
      </c>
      <c r="B246" t="s">
        <v>274</v>
      </c>
      <c r="C246" t="s">
        <v>1301</v>
      </c>
      <c r="D246" t="s">
        <v>1301</v>
      </c>
      <c r="E246" t="s">
        <v>1301</v>
      </c>
      <c r="F246" t="s">
        <v>1301</v>
      </c>
      <c r="G246" t="s">
        <v>1301</v>
      </c>
      <c r="H246" t="s">
        <v>1301</v>
      </c>
      <c r="I246" t="s">
        <v>1301</v>
      </c>
      <c r="J246" t="s">
        <v>1301</v>
      </c>
    </row>
    <row r="247" spans="1:10" x14ac:dyDescent="0.3">
      <c r="A247" t="s">
        <v>275</v>
      </c>
      <c r="B247" t="s">
        <v>276</v>
      </c>
      <c r="C247" t="s">
        <v>1301</v>
      </c>
      <c r="D247" t="s">
        <v>1301</v>
      </c>
      <c r="E247" t="s">
        <v>1301</v>
      </c>
      <c r="F247" t="s">
        <v>1301</v>
      </c>
      <c r="G247" t="s">
        <v>1301</v>
      </c>
      <c r="H247" t="s">
        <v>1301</v>
      </c>
      <c r="I247" t="s">
        <v>1301</v>
      </c>
      <c r="J247" t="s">
        <v>1301</v>
      </c>
    </row>
    <row r="248" spans="1:10" x14ac:dyDescent="0.3">
      <c r="A248" t="s">
        <v>1015</v>
      </c>
      <c r="B248" t="s">
        <v>1016</v>
      </c>
      <c r="C248" t="s">
        <v>1301</v>
      </c>
      <c r="D248" t="s">
        <v>1301</v>
      </c>
      <c r="E248" t="s">
        <v>1301</v>
      </c>
      <c r="F248" t="s">
        <v>1301</v>
      </c>
      <c r="G248" t="s">
        <v>1301</v>
      </c>
      <c r="H248" t="s">
        <v>1301</v>
      </c>
      <c r="I248" t="s">
        <v>1301</v>
      </c>
      <c r="J248" t="s">
        <v>1301</v>
      </c>
    </row>
    <row r="249" spans="1:10" x14ac:dyDescent="0.3">
      <c r="A249" t="s">
        <v>277</v>
      </c>
      <c r="B249" t="s">
        <v>278</v>
      </c>
      <c r="C249" t="s">
        <v>1301</v>
      </c>
      <c r="D249" t="s">
        <v>1301</v>
      </c>
      <c r="E249" t="s">
        <v>1301</v>
      </c>
      <c r="F249" t="s">
        <v>1301</v>
      </c>
      <c r="G249" t="s">
        <v>1301</v>
      </c>
      <c r="H249" t="s">
        <v>1301</v>
      </c>
      <c r="I249" t="s">
        <v>1301</v>
      </c>
      <c r="J249" t="s">
        <v>1301</v>
      </c>
    </row>
    <row r="250" spans="1:10" x14ac:dyDescent="0.3">
      <c r="A250" t="s">
        <v>1017</v>
      </c>
      <c r="B250" t="s">
        <v>1018</v>
      </c>
      <c r="C250" t="s">
        <v>1301</v>
      </c>
      <c r="D250" t="s">
        <v>1301</v>
      </c>
      <c r="E250" t="s">
        <v>1301</v>
      </c>
      <c r="F250" t="s">
        <v>1301</v>
      </c>
      <c r="G250" t="s">
        <v>1301</v>
      </c>
      <c r="H250" t="s">
        <v>1301</v>
      </c>
      <c r="I250" t="s">
        <v>1301</v>
      </c>
      <c r="J250" t="s">
        <v>1301</v>
      </c>
    </row>
    <row r="251" spans="1:10" x14ac:dyDescent="0.3">
      <c r="A251" t="s">
        <v>279</v>
      </c>
      <c r="B251" t="s">
        <v>280</v>
      </c>
      <c r="C251" t="s">
        <v>1301</v>
      </c>
      <c r="D251" t="s">
        <v>1301</v>
      </c>
      <c r="E251" t="s">
        <v>1301</v>
      </c>
      <c r="F251" t="s">
        <v>1301</v>
      </c>
      <c r="G251" t="s">
        <v>1301</v>
      </c>
      <c r="H251" t="s">
        <v>1301</v>
      </c>
      <c r="I251" t="s">
        <v>1301</v>
      </c>
      <c r="J251" t="s">
        <v>1301</v>
      </c>
    </row>
    <row r="252" spans="1:10" x14ac:dyDescent="0.3">
      <c r="A252" t="s">
        <v>281</v>
      </c>
      <c r="B252" t="s">
        <v>282</v>
      </c>
      <c r="C252" t="s">
        <v>1301</v>
      </c>
      <c r="D252" t="s">
        <v>1301</v>
      </c>
      <c r="E252" t="s">
        <v>1301</v>
      </c>
      <c r="F252" t="s">
        <v>1301</v>
      </c>
      <c r="G252" t="s">
        <v>1301</v>
      </c>
      <c r="H252" t="s">
        <v>1301</v>
      </c>
      <c r="I252" t="s">
        <v>1301</v>
      </c>
      <c r="J252" t="s">
        <v>1301</v>
      </c>
    </row>
    <row r="253" spans="1:10" x14ac:dyDescent="0.3">
      <c r="A253" t="s">
        <v>283</v>
      </c>
      <c r="B253" t="s">
        <v>284</v>
      </c>
      <c r="C253" t="s">
        <v>1301</v>
      </c>
      <c r="D253" t="s">
        <v>1301</v>
      </c>
      <c r="E253" t="s">
        <v>1301</v>
      </c>
      <c r="F253" t="s">
        <v>1301</v>
      </c>
      <c r="G253" t="s">
        <v>1301</v>
      </c>
      <c r="H253" t="s">
        <v>1301</v>
      </c>
      <c r="I253" t="s">
        <v>1301</v>
      </c>
      <c r="J253" t="s">
        <v>1301</v>
      </c>
    </row>
    <row r="254" spans="1:10" x14ac:dyDescent="0.3">
      <c r="A254" t="s">
        <v>285</v>
      </c>
      <c r="B254" t="s">
        <v>286</v>
      </c>
      <c r="C254" t="s">
        <v>1301</v>
      </c>
      <c r="D254" t="s">
        <v>1301</v>
      </c>
      <c r="E254" t="s">
        <v>1301</v>
      </c>
      <c r="F254" t="s">
        <v>1301</v>
      </c>
      <c r="G254" t="s">
        <v>1301</v>
      </c>
      <c r="H254" t="s">
        <v>1301</v>
      </c>
      <c r="I254" t="s">
        <v>1301</v>
      </c>
      <c r="J254" t="s">
        <v>1301</v>
      </c>
    </row>
    <row r="255" spans="1:10" x14ac:dyDescent="0.3">
      <c r="A255" t="s">
        <v>287</v>
      </c>
      <c r="B255" t="s">
        <v>1019</v>
      </c>
      <c r="C255" t="s">
        <v>1301</v>
      </c>
      <c r="D255" t="s">
        <v>1301</v>
      </c>
      <c r="E255" t="s">
        <v>1301</v>
      </c>
      <c r="F255" t="s">
        <v>1301</v>
      </c>
      <c r="G255" t="s">
        <v>1301</v>
      </c>
      <c r="H255" t="s">
        <v>1301</v>
      </c>
      <c r="I255" t="s">
        <v>1301</v>
      </c>
      <c r="J255" t="s">
        <v>1301</v>
      </c>
    </row>
    <row r="256" spans="1:10" x14ac:dyDescent="0.3">
      <c r="A256" t="s">
        <v>287</v>
      </c>
      <c r="B256" t="s">
        <v>288</v>
      </c>
      <c r="C256" t="s">
        <v>1301</v>
      </c>
      <c r="D256" t="s">
        <v>1301</v>
      </c>
      <c r="E256" t="s">
        <v>1301</v>
      </c>
      <c r="F256" t="s">
        <v>1301</v>
      </c>
      <c r="G256" t="s">
        <v>1301</v>
      </c>
      <c r="H256" t="s">
        <v>1301</v>
      </c>
      <c r="I256" t="s">
        <v>1301</v>
      </c>
      <c r="J256" t="s">
        <v>1301</v>
      </c>
    </row>
    <row r="257" spans="1:10" x14ac:dyDescent="0.3">
      <c r="A257" t="s">
        <v>1020</v>
      </c>
      <c r="B257" t="s">
        <v>1021</v>
      </c>
      <c r="C257" t="s">
        <v>1301</v>
      </c>
      <c r="D257" t="s">
        <v>1301</v>
      </c>
      <c r="E257" t="s">
        <v>1301</v>
      </c>
      <c r="F257" t="s">
        <v>1301</v>
      </c>
      <c r="G257" t="s">
        <v>1301</v>
      </c>
      <c r="H257" t="s">
        <v>1301</v>
      </c>
      <c r="I257" t="s">
        <v>1301</v>
      </c>
      <c r="J257" t="s">
        <v>1301</v>
      </c>
    </row>
    <row r="258" spans="1:10" x14ac:dyDescent="0.3">
      <c r="A258" t="s">
        <v>289</v>
      </c>
      <c r="B258" t="s">
        <v>290</v>
      </c>
      <c r="C258" t="s">
        <v>1301</v>
      </c>
      <c r="D258" t="s">
        <v>1301</v>
      </c>
      <c r="E258" t="s">
        <v>1301</v>
      </c>
      <c r="F258" t="s">
        <v>1301</v>
      </c>
      <c r="G258" t="s">
        <v>1301</v>
      </c>
      <c r="H258" t="s">
        <v>1301</v>
      </c>
      <c r="I258" t="s">
        <v>1301</v>
      </c>
      <c r="J258" t="s">
        <v>1301</v>
      </c>
    </row>
    <row r="259" spans="1:10" x14ac:dyDescent="0.3">
      <c r="A259" t="s">
        <v>1378</v>
      </c>
      <c r="B259" t="s">
        <v>1379</v>
      </c>
      <c r="C259" t="s">
        <v>1301</v>
      </c>
      <c r="D259" t="s">
        <v>1301</v>
      </c>
      <c r="E259" t="s">
        <v>1301</v>
      </c>
      <c r="F259" t="s">
        <v>1301</v>
      </c>
      <c r="G259" t="s">
        <v>1301</v>
      </c>
      <c r="H259" t="s">
        <v>1301</v>
      </c>
      <c r="I259" t="s">
        <v>1301</v>
      </c>
      <c r="J259" t="s">
        <v>1301</v>
      </c>
    </row>
    <row r="260" spans="1:10" x14ac:dyDescent="0.3">
      <c r="A260" t="s">
        <v>1380</v>
      </c>
      <c r="B260" t="s">
        <v>1381</v>
      </c>
      <c r="C260" t="s">
        <v>1301</v>
      </c>
      <c r="D260" t="s">
        <v>1301</v>
      </c>
      <c r="E260" t="s">
        <v>1301</v>
      </c>
      <c r="F260" t="s">
        <v>1301</v>
      </c>
      <c r="G260" t="s">
        <v>1301</v>
      </c>
      <c r="H260" t="s">
        <v>1301</v>
      </c>
      <c r="I260" t="s">
        <v>1301</v>
      </c>
      <c r="J260" t="s">
        <v>1301</v>
      </c>
    </row>
    <row r="261" spans="1:10" x14ac:dyDescent="0.3">
      <c r="A261" t="s">
        <v>291</v>
      </c>
      <c r="B261" t="s">
        <v>292</v>
      </c>
      <c r="C261" t="s">
        <v>1301</v>
      </c>
      <c r="D261" t="s">
        <v>1301</v>
      </c>
      <c r="E261" t="s">
        <v>1301</v>
      </c>
      <c r="F261" t="s">
        <v>1301</v>
      </c>
      <c r="G261" t="s">
        <v>1301</v>
      </c>
      <c r="H261" t="s">
        <v>1301</v>
      </c>
      <c r="I261" t="s">
        <v>1301</v>
      </c>
      <c r="J261" t="s">
        <v>1301</v>
      </c>
    </row>
    <row r="262" spans="1:10" x14ac:dyDescent="0.3">
      <c r="A262" t="s">
        <v>1022</v>
      </c>
      <c r="B262" t="s">
        <v>1023</v>
      </c>
      <c r="C262" t="s">
        <v>1301</v>
      </c>
      <c r="D262" t="s">
        <v>1301</v>
      </c>
      <c r="E262" t="s">
        <v>1301</v>
      </c>
      <c r="F262" t="s">
        <v>1301</v>
      </c>
      <c r="G262" t="s">
        <v>1301</v>
      </c>
      <c r="H262" t="s">
        <v>1301</v>
      </c>
      <c r="I262" t="s">
        <v>1301</v>
      </c>
      <c r="J262" t="s">
        <v>1301</v>
      </c>
    </row>
    <row r="263" spans="1:10" x14ac:dyDescent="0.3">
      <c r="A263" t="s">
        <v>1024</v>
      </c>
      <c r="B263" t="s">
        <v>1025</v>
      </c>
      <c r="C263" t="s">
        <v>1301</v>
      </c>
      <c r="D263" t="s">
        <v>1301</v>
      </c>
      <c r="E263" t="s">
        <v>1301</v>
      </c>
      <c r="F263" t="s">
        <v>1301</v>
      </c>
      <c r="G263" t="s">
        <v>1301</v>
      </c>
      <c r="H263" t="s">
        <v>1301</v>
      </c>
      <c r="I263" t="s">
        <v>1301</v>
      </c>
      <c r="J263" t="s">
        <v>1301</v>
      </c>
    </row>
    <row r="264" spans="1:10" x14ac:dyDescent="0.3">
      <c r="A264" t="s">
        <v>293</v>
      </c>
      <c r="B264" t="s">
        <v>294</v>
      </c>
      <c r="C264" t="s">
        <v>1301</v>
      </c>
      <c r="D264" t="s">
        <v>1301</v>
      </c>
      <c r="E264" t="s">
        <v>1301</v>
      </c>
      <c r="F264" t="s">
        <v>1301</v>
      </c>
      <c r="G264" t="s">
        <v>1301</v>
      </c>
      <c r="H264" t="s">
        <v>1301</v>
      </c>
      <c r="I264" t="s">
        <v>1301</v>
      </c>
      <c r="J264" t="s">
        <v>1301</v>
      </c>
    </row>
    <row r="265" spans="1:10" x14ac:dyDescent="0.3">
      <c r="A265" t="s">
        <v>1382</v>
      </c>
      <c r="B265" t="s">
        <v>1383</v>
      </c>
      <c r="C265" t="s">
        <v>1301</v>
      </c>
      <c r="D265" t="s">
        <v>1301</v>
      </c>
      <c r="E265" t="s">
        <v>1301</v>
      </c>
      <c r="F265" t="s">
        <v>1301</v>
      </c>
      <c r="G265" t="s">
        <v>1301</v>
      </c>
      <c r="H265" t="s">
        <v>1301</v>
      </c>
      <c r="I265" t="s">
        <v>1301</v>
      </c>
      <c r="J265" t="s">
        <v>1301</v>
      </c>
    </row>
    <row r="266" spans="1:10" x14ac:dyDescent="0.3">
      <c r="A266" t="s">
        <v>586</v>
      </c>
      <c r="B266" t="s">
        <v>587</v>
      </c>
      <c r="C266" t="s">
        <v>1301</v>
      </c>
      <c r="D266" t="s">
        <v>1301</v>
      </c>
      <c r="E266" t="s">
        <v>1301</v>
      </c>
      <c r="F266" t="s">
        <v>1301</v>
      </c>
      <c r="G266" t="s">
        <v>1301</v>
      </c>
      <c r="H266" t="s">
        <v>1301</v>
      </c>
      <c r="I266" t="s">
        <v>1301</v>
      </c>
      <c r="J266" t="s">
        <v>1301</v>
      </c>
    </row>
    <row r="267" spans="1:10" x14ac:dyDescent="0.3">
      <c r="A267" t="s">
        <v>1026</v>
      </c>
      <c r="B267" t="s">
        <v>1027</v>
      </c>
      <c r="C267" t="s">
        <v>1301</v>
      </c>
      <c r="D267" t="s">
        <v>1301</v>
      </c>
      <c r="E267" t="s">
        <v>1301</v>
      </c>
      <c r="F267" t="s">
        <v>1301</v>
      </c>
      <c r="G267" t="s">
        <v>1301</v>
      </c>
      <c r="H267" t="s">
        <v>1301</v>
      </c>
      <c r="I267" t="s">
        <v>1301</v>
      </c>
      <c r="J267" t="s">
        <v>1301</v>
      </c>
    </row>
    <row r="268" spans="1:10" x14ac:dyDescent="0.3">
      <c r="A268" t="s">
        <v>295</v>
      </c>
      <c r="B268" t="s">
        <v>296</v>
      </c>
      <c r="C268" t="s">
        <v>1301</v>
      </c>
      <c r="D268" t="s">
        <v>1301</v>
      </c>
      <c r="E268" t="s">
        <v>1301</v>
      </c>
      <c r="F268" t="s">
        <v>1301</v>
      </c>
      <c r="G268" t="s">
        <v>1301</v>
      </c>
      <c r="H268" t="s">
        <v>1301</v>
      </c>
      <c r="I268" t="s">
        <v>1301</v>
      </c>
      <c r="J268" t="s">
        <v>1301</v>
      </c>
    </row>
    <row r="269" spans="1:10" x14ac:dyDescent="0.3">
      <c r="A269" t="s">
        <v>1028</v>
      </c>
      <c r="B269" t="s">
        <v>1029</v>
      </c>
      <c r="C269" t="s">
        <v>1301</v>
      </c>
      <c r="D269" t="s">
        <v>1301</v>
      </c>
      <c r="E269" t="s">
        <v>1301</v>
      </c>
      <c r="F269" t="s">
        <v>1301</v>
      </c>
      <c r="G269" t="s">
        <v>1301</v>
      </c>
      <c r="H269" t="s">
        <v>1301</v>
      </c>
      <c r="I269" t="s">
        <v>1301</v>
      </c>
      <c r="J269" t="s">
        <v>1301</v>
      </c>
    </row>
    <row r="270" spans="1:10" x14ac:dyDescent="0.3">
      <c r="A270" t="s">
        <v>1384</v>
      </c>
      <c r="B270" t="s">
        <v>1385</v>
      </c>
      <c r="C270" t="s">
        <v>1301</v>
      </c>
      <c r="D270" t="s">
        <v>1301</v>
      </c>
      <c r="E270" t="s">
        <v>1301</v>
      </c>
      <c r="F270" t="s">
        <v>1301</v>
      </c>
      <c r="G270" t="s">
        <v>1301</v>
      </c>
      <c r="H270" t="s">
        <v>1301</v>
      </c>
      <c r="I270" t="s">
        <v>1301</v>
      </c>
      <c r="J270" t="s">
        <v>1301</v>
      </c>
    </row>
    <row r="271" spans="1:10" x14ac:dyDescent="0.3">
      <c r="A271" t="s">
        <v>1030</v>
      </c>
      <c r="B271" t="s">
        <v>1031</v>
      </c>
      <c r="C271" t="s">
        <v>1301</v>
      </c>
      <c r="D271" t="s">
        <v>1301</v>
      </c>
      <c r="E271" t="s">
        <v>1301</v>
      </c>
      <c r="F271" t="s">
        <v>1301</v>
      </c>
      <c r="G271" t="s">
        <v>1301</v>
      </c>
      <c r="H271" t="s">
        <v>1301</v>
      </c>
      <c r="I271" t="s">
        <v>1301</v>
      </c>
      <c r="J271" t="s">
        <v>1301</v>
      </c>
    </row>
    <row r="272" spans="1:10" x14ac:dyDescent="0.3">
      <c r="A272" t="s">
        <v>1032</v>
      </c>
      <c r="B272" t="s">
        <v>1033</v>
      </c>
      <c r="C272" t="s">
        <v>1301</v>
      </c>
      <c r="D272" t="s">
        <v>1301</v>
      </c>
      <c r="E272" t="s">
        <v>1301</v>
      </c>
      <c r="F272" t="s">
        <v>1301</v>
      </c>
      <c r="G272" t="s">
        <v>1301</v>
      </c>
      <c r="H272" t="s">
        <v>1301</v>
      </c>
      <c r="I272" t="s">
        <v>1301</v>
      </c>
      <c r="J272" t="s">
        <v>1301</v>
      </c>
    </row>
    <row r="273" spans="1:10" x14ac:dyDescent="0.3">
      <c r="A273" t="s">
        <v>1034</v>
      </c>
      <c r="B273" t="s">
        <v>1035</v>
      </c>
      <c r="C273" t="s">
        <v>1301</v>
      </c>
      <c r="D273" t="s">
        <v>1301</v>
      </c>
      <c r="E273" t="s">
        <v>1301</v>
      </c>
      <c r="F273" t="s">
        <v>1301</v>
      </c>
      <c r="G273" t="s">
        <v>1301</v>
      </c>
      <c r="H273" t="s">
        <v>1301</v>
      </c>
      <c r="I273" t="s">
        <v>1301</v>
      </c>
      <c r="J273" t="s">
        <v>1301</v>
      </c>
    </row>
    <row r="274" spans="1:10" x14ac:dyDescent="0.3">
      <c r="A274" t="s">
        <v>297</v>
      </c>
      <c r="B274" t="s">
        <v>298</v>
      </c>
      <c r="C274" t="s">
        <v>1301</v>
      </c>
      <c r="D274" t="s">
        <v>1301</v>
      </c>
      <c r="E274" t="s">
        <v>1301</v>
      </c>
      <c r="F274" t="s">
        <v>1301</v>
      </c>
      <c r="G274" t="s">
        <v>1301</v>
      </c>
      <c r="H274" t="s">
        <v>1301</v>
      </c>
      <c r="I274" t="s">
        <v>1301</v>
      </c>
      <c r="J274" t="s">
        <v>1301</v>
      </c>
    </row>
    <row r="275" spans="1:10" x14ac:dyDescent="0.3">
      <c r="A275" t="s">
        <v>1386</v>
      </c>
      <c r="B275" t="s">
        <v>1387</v>
      </c>
      <c r="C275" t="s">
        <v>1301</v>
      </c>
      <c r="D275" t="s">
        <v>1301</v>
      </c>
      <c r="E275" t="s">
        <v>1301</v>
      </c>
      <c r="F275" t="s">
        <v>1301</v>
      </c>
      <c r="G275" t="s">
        <v>1301</v>
      </c>
      <c r="H275" t="s">
        <v>1301</v>
      </c>
      <c r="I275" t="s">
        <v>1301</v>
      </c>
      <c r="J275" t="s">
        <v>1301</v>
      </c>
    </row>
    <row r="276" spans="1:10" x14ac:dyDescent="0.3">
      <c r="A276" t="s">
        <v>299</v>
      </c>
      <c r="B276" t="s">
        <v>300</v>
      </c>
      <c r="C276" t="s">
        <v>1301</v>
      </c>
      <c r="D276" t="s">
        <v>1301</v>
      </c>
      <c r="E276" t="s">
        <v>1301</v>
      </c>
      <c r="F276" t="s">
        <v>1301</v>
      </c>
      <c r="G276" t="s">
        <v>1301</v>
      </c>
      <c r="H276" t="s">
        <v>1301</v>
      </c>
      <c r="I276" t="s">
        <v>1301</v>
      </c>
      <c r="J276" t="s">
        <v>1301</v>
      </c>
    </row>
    <row r="277" spans="1:10" x14ac:dyDescent="0.3">
      <c r="A277" t="s">
        <v>1388</v>
      </c>
      <c r="B277" t="s">
        <v>1389</v>
      </c>
      <c r="C277" t="s">
        <v>1301</v>
      </c>
      <c r="D277" t="s">
        <v>1301</v>
      </c>
      <c r="E277" t="s">
        <v>1301</v>
      </c>
      <c r="F277" t="s">
        <v>1301</v>
      </c>
      <c r="G277" t="s">
        <v>1301</v>
      </c>
      <c r="H277" t="s">
        <v>1301</v>
      </c>
      <c r="I277" t="s">
        <v>1301</v>
      </c>
      <c r="J277" t="s">
        <v>1301</v>
      </c>
    </row>
    <row r="278" spans="1:10" x14ac:dyDescent="0.3">
      <c r="A278" t="s">
        <v>1390</v>
      </c>
      <c r="B278" t="s">
        <v>1391</v>
      </c>
      <c r="C278" t="s">
        <v>1301</v>
      </c>
      <c r="D278" t="s">
        <v>1301</v>
      </c>
      <c r="E278" t="s">
        <v>1301</v>
      </c>
      <c r="F278" t="s">
        <v>1301</v>
      </c>
      <c r="G278" t="s">
        <v>1301</v>
      </c>
      <c r="H278" t="s">
        <v>1301</v>
      </c>
      <c r="I278" t="s">
        <v>1301</v>
      </c>
      <c r="J278" t="s">
        <v>1301</v>
      </c>
    </row>
    <row r="279" spans="1:10" x14ac:dyDescent="0.3">
      <c r="A279" t="s">
        <v>1036</v>
      </c>
      <c r="B279" t="s">
        <v>1037</v>
      </c>
      <c r="C279" t="s">
        <v>1301</v>
      </c>
      <c r="D279" t="s">
        <v>1301</v>
      </c>
      <c r="E279" t="s">
        <v>1301</v>
      </c>
      <c r="F279" t="s">
        <v>1301</v>
      </c>
      <c r="G279" t="s">
        <v>1301</v>
      </c>
      <c r="H279" t="s">
        <v>1301</v>
      </c>
      <c r="I279" t="s">
        <v>1301</v>
      </c>
      <c r="J279" t="s">
        <v>1301</v>
      </c>
    </row>
    <row r="280" spans="1:10" x14ac:dyDescent="0.3">
      <c r="A280" t="s">
        <v>301</v>
      </c>
      <c r="B280" t="s">
        <v>302</v>
      </c>
      <c r="C280" t="s">
        <v>1301</v>
      </c>
      <c r="D280" t="s">
        <v>1301</v>
      </c>
      <c r="E280" t="s">
        <v>1301</v>
      </c>
      <c r="F280" t="s">
        <v>1301</v>
      </c>
      <c r="G280" t="s">
        <v>1301</v>
      </c>
      <c r="H280" t="s">
        <v>1301</v>
      </c>
      <c r="I280" t="s">
        <v>1301</v>
      </c>
      <c r="J280" t="s">
        <v>1301</v>
      </c>
    </row>
    <row r="281" spans="1:10" x14ac:dyDescent="0.3">
      <c r="A281" t="s">
        <v>1038</v>
      </c>
      <c r="B281" t="s">
        <v>1039</v>
      </c>
      <c r="C281" t="s">
        <v>1301</v>
      </c>
      <c r="D281" t="s">
        <v>1301</v>
      </c>
      <c r="E281" t="s">
        <v>1301</v>
      </c>
      <c r="F281" t="s">
        <v>1301</v>
      </c>
      <c r="G281" t="s">
        <v>1301</v>
      </c>
      <c r="H281" t="s">
        <v>1301</v>
      </c>
      <c r="I281" t="s">
        <v>1301</v>
      </c>
      <c r="J281" t="s">
        <v>1301</v>
      </c>
    </row>
    <row r="282" spans="1:10" x14ac:dyDescent="0.3">
      <c r="A282" t="s">
        <v>303</v>
      </c>
      <c r="B282" t="s">
        <v>304</v>
      </c>
      <c r="C282" t="s">
        <v>1301</v>
      </c>
      <c r="D282" t="s">
        <v>1301</v>
      </c>
      <c r="E282" t="s">
        <v>1301</v>
      </c>
      <c r="F282" t="s">
        <v>1301</v>
      </c>
      <c r="G282" t="s">
        <v>1301</v>
      </c>
      <c r="H282" t="s">
        <v>1301</v>
      </c>
      <c r="I282" t="s">
        <v>1301</v>
      </c>
      <c r="J282" t="s">
        <v>1301</v>
      </c>
    </row>
    <row r="283" spans="1:10" x14ac:dyDescent="0.3">
      <c r="A283" t="s">
        <v>305</v>
      </c>
      <c r="B283" t="s">
        <v>306</v>
      </c>
      <c r="C283" t="s">
        <v>1301</v>
      </c>
      <c r="D283" t="s">
        <v>1301</v>
      </c>
      <c r="E283" t="s">
        <v>1301</v>
      </c>
      <c r="F283" t="s">
        <v>1301</v>
      </c>
      <c r="G283" t="s">
        <v>1301</v>
      </c>
      <c r="H283" t="s">
        <v>1301</v>
      </c>
      <c r="I283" t="s">
        <v>1301</v>
      </c>
      <c r="J283" t="s">
        <v>1301</v>
      </c>
    </row>
    <row r="284" spans="1:10" x14ac:dyDescent="0.3">
      <c r="A284" t="s">
        <v>1392</v>
      </c>
      <c r="B284" t="s">
        <v>1393</v>
      </c>
      <c r="C284" t="s">
        <v>1301</v>
      </c>
      <c r="D284" t="s">
        <v>1301</v>
      </c>
      <c r="E284" t="s">
        <v>1301</v>
      </c>
      <c r="F284" t="s">
        <v>1301</v>
      </c>
      <c r="G284" t="s">
        <v>1301</v>
      </c>
      <c r="H284" t="s">
        <v>1301</v>
      </c>
      <c r="I284" t="s">
        <v>1301</v>
      </c>
      <c r="J284" t="s">
        <v>1301</v>
      </c>
    </row>
    <row r="285" spans="1:10" x14ac:dyDescent="0.3">
      <c r="A285" t="s">
        <v>1394</v>
      </c>
      <c r="B285" t="s">
        <v>1395</v>
      </c>
      <c r="C285" t="s">
        <v>1301</v>
      </c>
      <c r="D285" t="s">
        <v>1301</v>
      </c>
      <c r="E285" t="s">
        <v>1301</v>
      </c>
      <c r="F285" t="s">
        <v>1301</v>
      </c>
      <c r="G285" t="s">
        <v>1301</v>
      </c>
      <c r="H285" t="s">
        <v>1301</v>
      </c>
      <c r="I285" t="s">
        <v>1301</v>
      </c>
      <c r="J285" t="s">
        <v>1301</v>
      </c>
    </row>
    <row r="286" spans="1:10" x14ac:dyDescent="0.3">
      <c r="A286" t="s">
        <v>1396</v>
      </c>
      <c r="B286" t="s">
        <v>1397</v>
      </c>
      <c r="C286" t="s">
        <v>1301</v>
      </c>
      <c r="D286" t="s">
        <v>1301</v>
      </c>
      <c r="E286" t="s">
        <v>1301</v>
      </c>
      <c r="F286" t="s">
        <v>1301</v>
      </c>
      <c r="G286" t="s">
        <v>1301</v>
      </c>
      <c r="H286" t="s">
        <v>1301</v>
      </c>
      <c r="I286" t="s">
        <v>1301</v>
      </c>
      <c r="J286" t="s">
        <v>1301</v>
      </c>
    </row>
    <row r="287" spans="1:10" x14ac:dyDescent="0.3">
      <c r="A287" t="s">
        <v>307</v>
      </c>
      <c r="B287" t="s">
        <v>308</v>
      </c>
      <c r="C287" t="s">
        <v>1301</v>
      </c>
      <c r="D287" t="s">
        <v>1301</v>
      </c>
      <c r="E287" t="s">
        <v>1301</v>
      </c>
      <c r="F287" t="s">
        <v>1301</v>
      </c>
      <c r="G287" t="s">
        <v>1301</v>
      </c>
      <c r="H287" t="s">
        <v>1301</v>
      </c>
      <c r="I287" t="s">
        <v>1301</v>
      </c>
      <c r="J287" t="s">
        <v>1301</v>
      </c>
    </row>
    <row r="288" spans="1:10" x14ac:dyDescent="0.3">
      <c r="A288" t="s">
        <v>588</v>
      </c>
      <c r="B288" t="s">
        <v>589</v>
      </c>
      <c r="C288" t="s">
        <v>1301</v>
      </c>
      <c r="D288" t="s">
        <v>1301</v>
      </c>
      <c r="E288" t="s">
        <v>1301</v>
      </c>
      <c r="F288" t="s">
        <v>1301</v>
      </c>
      <c r="G288" t="s">
        <v>1301</v>
      </c>
      <c r="H288" t="s">
        <v>1301</v>
      </c>
      <c r="I288" t="s">
        <v>1301</v>
      </c>
      <c r="J288" t="s">
        <v>1301</v>
      </c>
    </row>
    <row r="289" spans="1:10" x14ac:dyDescent="0.3">
      <c r="A289" t="s">
        <v>309</v>
      </c>
      <c r="B289" t="s">
        <v>310</v>
      </c>
      <c r="C289" t="s">
        <v>1301</v>
      </c>
      <c r="D289" t="s">
        <v>1301</v>
      </c>
      <c r="E289" t="s">
        <v>1301</v>
      </c>
      <c r="F289" t="s">
        <v>1301</v>
      </c>
      <c r="G289" t="s">
        <v>1301</v>
      </c>
      <c r="H289" t="s">
        <v>1301</v>
      </c>
      <c r="I289" t="s">
        <v>1301</v>
      </c>
      <c r="J289" t="s">
        <v>1301</v>
      </c>
    </row>
    <row r="290" spans="1:10" x14ac:dyDescent="0.3">
      <c r="A290" t="s">
        <v>311</v>
      </c>
      <c r="B290" t="s">
        <v>312</v>
      </c>
      <c r="C290" t="s">
        <v>1301</v>
      </c>
      <c r="D290" t="s">
        <v>1301</v>
      </c>
      <c r="E290" t="s">
        <v>1301</v>
      </c>
      <c r="F290" t="s">
        <v>1301</v>
      </c>
      <c r="G290" t="s">
        <v>1301</v>
      </c>
      <c r="H290" t="s">
        <v>1301</v>
      </c>
      <c r="I290" t="s">
        <v>1301</v>
      </c>
      <c r="J290" t="s">
        <v>1301</v>
      </c>
    </row>
    <row r="291" spans="1:10" x14ac:dyDescent="0.3">
      <c r="A291" t="s">
        <v>313</v>
      </c>
      <c r="B291" t="s">
        <v>314</v>
      </c>
      <c r="C291" t="s">
        <v>1301</v>
      </c>
      <c r="D291" t="s">
        <v>1301</v>
      </c>
      <c r="E291" t="s">
        <v>1301</v>
      </c>
      <c r="F291" t="s">
        <v>1301</v>
      </c>
      <c r="G291" t="s">
        <v>1301</v>
      </c>
      <c r="H291" t="s">
        <v>1301</v>
      </c>
      <c r="I291" t="s">
        <v>1301</v>
      </c>
      <c r="J291" t="s">
        <v>1301</v>
      </c>
    </row>
    <row r="292" spans="1:10" x14ac:dyDescent="0.3">
      <c r="A292" t="s">
        <v>1398</v>
      </c>
      <c r="B292" t="s">
        <v>1399</v>
      </c>
      <c r="C292" t="s">
        <v>1301</v>
      </c>
      <c r="D292" t="s">
        <v>1301</v>
      </c>
      <c r="E292" t="s">
        <v>1301</v>
      </c>
      <c r="F292" t="s">
        <v>1301</v>
      </c>
      <c r="G292" t="s">
        <v>1301</v>
      </c>
      <c r="H292" t="s">
        <v>1301</v>
      </c>
      <c r="I292" t="s">
        <v>1301</v>
      </c>
      <c r="J292" t="s">
        <v>1301</v>
      </c>
    </row>
    <row r="293" spans="1:10" x14ac:dyDescent="0.3">
      <c r="A293" t="s">
        <v>315</v>
      </c>
      <c r="B293" t="s">
        <v>316</v>
      </c>
      <c r="C293" t="s">
        <v>1301</v>
      </c>
      <c r="D293" t="s">
        <v>1301</v>
      </c>
      <c r="E293" t="s">
        <v>1301</v>
      </c>
      <c r="F293" t="s">
        <v>1301</v>
      </c>
      <c r="G293" t="s">
        <v>1301</v>
      </c>
      <c r="H293" t="s">
        <v>1301</v>
      </c>
      <c r="I293" t="s">
        <v>1301</v>
      </c>
      <c r="J293" t="s">
        <v>1301</v>
      </c>
    </row>
    <row r="294" spans="1:10" x14ac:dyDescent="0.3">
      <c r="A294" t="s">
        <v>317</v>
      </c>
      <c r="B294" t="s">
        <v>318</v>
      </c>
      <c r="C294" t="s">
        <v>1301</v>
      </c>
      <c r="D294" t="s">
        <v>1301</v>
      </c>
      <c r="E294" t="s">
        <v>1301</v>
      </c>
      <c r="F294" t="s">
        <v>1301</v>
      </c>
      <c r="G294" t="s">
        <v>1301</v>
      </c>
      <c r="H294" t="s">
        <v>1301</v>
      </c>
      <c r="I294" t="s">
        <v>1301</v>
      </c>
      <c r="J294" t="s">
        <v>1301</v>
      </c>
    </row>
    <row r="295" spans="1:10" x14ac:dyDescent="0.3">
      <c r="A295" t="s">
        <v>1040</v>
      </c>
      <c r="B295" t="s">
        <v>1041</v>
      </c>
      <c r="C295" t="s">
        <v>1301</v>
      </c>
      <c r="D295" t="s">
        <v>1301</v>
      </c>
      <c r="E295" t="s">
        <v>1301</v>
      </c>
      <c r="F295" t="s">
        <v>1301</v>
      </c>
      <c r="G295" t="s">
        <v>1301</v>
      </c>
      <c r="H295" t="s">
        <v>1301</v>
      </c>
      <c r="I295" t="s">
        <v>1301</v>
      </c>
      <c r="J295" t="s">
        <v>1301</v>
      </c>
    </row>
    <row r="296" spans="1:10" x14ac:dyDescent="0.3">
      <c r="A296" t="s">
        <v>1042</v>
      </c>
      <c r="B296" t="s">
        <v>1043</v>
      </c>
      <c r="C296" t="s">
        <v>1301</v>
      </c>
      <c r="D296" t="s">
        <v>1301</v>
      </c>
      <c r="E296" t="s">
        <v>1301</v>
      </c>
      <c r="F296" t="s">
        <v>1301</v>
      </c>
      <c r="G296" t="s">
        <v>1301</v>
      </c>
      <c r="H296" t="s">
        <v>1301</v>
      </c>
      <c r="I296" t="s">
        <v>1301</v>
      </c>
      <c r="J296" t="s">
        <v>1301</v>
      </c>
    </row>
    <row r="297" spans="1:10" x14ac:dyDescent="0.3">
      <c r="A297" t="s">
        <v>1044</v>
      </c>
      <c r="B297" t="s">
        <v>1045</v>
      </c>
      <c r="C297" t="s">
        <v>1301</v>
      </c>
      <c r="D297" t="s">
        <v>1301</v>
      </c>
      <c r="E297" t="s">
        <v>1301</v>
      </c>
      <c r="F297" t="s">
        <v>1301</v>
      </c>
      <c r="G297" t="s">
        <v>1301</v>
      </c>
      <c r="H297" t="s">
        <v>1301</v>
      </c>
      <c r="I297" t="s">
        <v>1301</v>
      </c>
      <c r="J297" t="s">
        <v>1301</v>
      </c>
    </row>
    <row r="298" spans="1:10" x14ac:dyDescent="0.3">
      <c r="A298" t="s">
        <v>319</v>
      </c>
      <c r="B298" t="s">
        <v>320</v>
      </c>
      <c r="C298" t="s">
        <v>1301</v>
      </c>
      <c r="D298" t="s">
        <v>1301</v>
      </c>
      <c r="E298" t="s">
        <v>1301</v>
      </c>
      <c r="F298" t="s">
        <v>1301</v>
      </c>
      <c r="G298" t="s">
        <v>1301</v>
      </c>
      <c r="H298" t="s">
        <v>1301</v>
      </c>
      <c r="I298" t="s">
        <v>1301</v>
      </c>
      <c r="J298" t="s">
        <v>1301</v>
      </c>
    </row>
    <row r="299" spans="1:10" x14ac:dyDescent="0.3">
      <c r="A299" t="s">
        <v>319</v>
      </c>
      <c r="B299" t="s">
        <v>321</v>
      </c>
      <c r="C299" t="s">
        <v>1301</v>
      </c>
      <c r="D299" t="s">
        <v>1301</v>
      </c>
      <c r="E299" t="s">
        <v>1301</v>
      </c>
      <c r="F299" t="s">
        <v>1301</v>
      </c>
      <c r="G299" t="s">
        <v>1301</v>
      </c>
      <c r="H299" t="s">
        <v>1301</v>
      </c>
      <c r="I299" t="s">
        <v>1301</v>
      </c>
      <c r="J299" t="s">
        <v>1301</v>
      </c>
    </row>
    <row r="300" spans="1:10" x14ac:dyDescent="0.3">
      <c r="A300" t="s">
        <v>322</v>
      </c>
      <c r="B300" t="s">
        <v>323</v>
      </c>
      <c r="C300" t="s">
        <v>1301</v>
      </c>
      <c r="D300" t="s">
        <v>1301</v>
      </c>
      <c r="E300" t="s">
        <v>1301</v>
      </c>
      <c r="F300" t="s">
        <v>1301</v>
      </c>
      <c r="G300" t="s">
        <v>1301</v>
      </c>
      <c r="H300" t="s">
        <v>1301</v>
      </c>
      <c r="I300" t="s">
        <v>1301</v>
      </c>
      <c r="J300" t="s">
        <v>1301</v>
      </c>
    </row>
    <row r="301" spans="1:10" x14ac:dyDescent="0.3">
      <c r="A301" t="s">
        <v>324</v>
      </c>
      <c r="B301" t="s">
        <v>325</v>
      </c>
      <c r="C301" t="s">
        <v>1301</v>
      </c>
      <c r="D301" t="s">
        <v>1301</v>
      </c>
      <c r="E301" t="s">
        <v>1301</v>
      </c>
      <c r="F301" t="s">
        <v>1301</v>
      </c>
      <c r="G301" t="s">
        <v>1301</v>
      </c>
      <c r="H301" t="s">
        <v>1301</v>
      </c>
      <c r="I301" t="s">
        <v>1301</v>
      </c>
      <c r="J301" t="s">
        <v>1301</v>
      </c>
    </row>
    <row r="302" spans="1:10" x14ac:dyDescent="0.3">
      <c r="A302" t="s">
        <v>1400</v>
      </c>
      <c r="B302" t="s">
        <v>1401</v>
      </c>
      <c r="C302" t="s">
        <v>1301</v>
      </c>
      <c r="D302" t="s">
        <v>1301</v>
      </c>
      <c r="E302" t="s">
        <v>1301</v>
      </c>
      <c r="F302" t="s">
        <v>1301</v>
      </c>
      <c r="G302" t="s">
        <v>1301</v>
      </c>
      <c r="H302" t="s">
        <v>1301</v>
      </c>
      <c r="I302" t="s">
        <v>1301</v>
      </c>
      <c r="J302" t="s">
        <v>1301</v>
      </c>
    </row>
    <row r="303" spans="1:10" x14ac:dyDescent="0.3">
      <c r="A303" t="s">
        <v>1402</v>
      </c>
      <c r="B303" t="s">
        <v>1403</v>
      </c>
      <c r="C303" t="s">
        <v>1301</v>
      </c>
      <c r="D303" t="s">
        <v>1301</v>
      </c>
      <c r="E303" t="s">
        <v>1301</v>
      </c>
      <c r="F303" t="s">
        <v>1301</v>
      </c>
      <c r="G303" t="s">
        <v>1301</v>
      </c>
      <c r="H303" t="s">
        <v>1301</v>
      </c>
      <c r="I303" t="s">
        <v>1301</v>
      </c>
      <c r="J303" t="s">
        <v>1301</v>
      </c>
    </row>
    <row r="304" spans="1:10" x14ac:dyDescent="0.3">
      <c r="A304" t="s">
        <v>1404</v>
      </c>
      <c r="B304" t="s">
        <v>1405</v>
      </c>
      <c r="C304" t="s">
        <v>1301</v>
      </c>
      <c r="D304" t="s">
        <v>1301</v>
      </c>
      <c r="E304" t="s">
        <v>1301</v>
      </c>
      <c r="F304" t="s">
        <v>1301</v>
      </c>
      <c r="G304" t="s">
        <v>1301</v>
      </c>
      <c r="H304" t="s">
        <v>1301</v>
      </c>
      <c r="I304" t="s">
        <v>1301</v>
      </c>
      <c r="J304" t="s">
        <v>1301</v>
      </c>
    </row>
    <row r="305" spans="1:10" x14ac:dyDescent="0.3">
      <c r="A305" t="s">
        <v>1046</v>
      </c>
      <c r="B305" t="s">
        <v>1047</v>
      </c>
      <c r="C305" t="s">
        <v>1301</v>
      </c>
      <c r="D305" t="s">
        <v>1301</v>
      </c>
      <c r="E305" t="s">
        <v>1301</v>
      </c>
      <c r="F305" t="s">
        <v>1301</v>
      </c>
      <c r="G305" t="s">
        <v>1301</v>
      </c>
      <c r="H305" t="s">
        <v>1301</v>
      </c>
      <c r="I305" t="s">
        <v>1301</v>
      </c>
      <c r="J305" t="s">
        <v>1301</v>
      </c>
    </row>
    <row r="306" spans="1:10" x14ac:dyDescent="0.3">
      <c r="A306" t="s">
        <v>326</v>
      </c>
      <c r="B306" t="s">
        <v>327</v>
      </c>
      <c r="C306" t="s">
        <v>1301</v>
      </c>
      <c r="D306" t="s">
        <v>1301</v>
      </c>
      <c r="E306" t="s">
        <v>1301</v>
      </c>
      <c r="F306" t="s">
        <v>1301</v>
      </c>
      <c r="G306" t="s">
        <v>1301</v>
      </c>
      <c r="H306" t="s">
        <v>1301</v>
      </c>
      <c r="I306" t="s">
        <v>1301</v>
      </c>
      <c r="J306" t="s">
        <v>1301</v>
      </c>
    </row>
    <row r="307" spans="1:10" x14ac:dyDescent="0.3">
      <c r="A307" t="s">
        <v>328</v>
      </c>
      <c r="B307" t="s">
        <v>329</v>
      </c>
      <c r="C307" t="s">
        <v>1301</v>
      </c>
      <c r="D307" t="s">
        <v>1301</v>
      </c>
      <c r="E307" t="s">
        <v>1301</v>
      </c>
      <c r="F307" t="s">
        <v>1301</v>
      </c>
      <c r="G307" t="s">
        <v>1301</v>
      </c>
      <c r="H307" t="s">
        <v>1301</v>
      </c>
      <c r="I307" t="s">
        <v>1301</v>
      </c>
      <c r="J307" t="s">
        <v>1301</v>
      </c>
    </row>
    <row r="308" spans="1:10" x14ac:dyDescent="0.3">
      <c r="A308" t="s">
        <v>330</v>
      </c>
      <c r="B308" t="s">
        <v>331</v>
      </c>
      <c r="C308" t="s">
        <v>1301</v>
      </c>
      <c r="D308" t="s">
        <v>1301</v>
      </c>
      <c r="E308" t="s">
        <v>1301</v>
      </c>
      <c r="F308" t="s">
        <v>1301</v>
      </c>
      <c r="G308" t="s">
        <v>1301</v>
      </c>
      <c r="H308" t="s">
        <v>1301</v>
      </c>
      <c r="I308" t="s">
        <v>1301</v>
      </c>
      <c r="J308" t="s">
        <v>1301</v>
      </c>
    </row>
    <row r="309" spans="1:10" x14ac:dyDescent="0.3">
      <c r="A309" t="s">
        <v>1048</v>
      </c>
      <c r="B309" t="s">
        <v>1049</v>
      </c>
      <c r="C309" t="s">
        <v>1307</v>
      </c>
      <c r="D309" t="s">
        <v>1048</v>
      </c>
      <c r="E309" t="s">
        <v>1301</v>
      </c>
      <c r="F309" t="s">
        <v>1301</v>
      </c>
      <c r="G309" t="s">
        <v>1301</v>
      </c>
      <c r="H309" t="s">
        <v>1301</v>
      </c>
      <c r="I309" t="s">
        <v>1301</v>
      </c>
      <c r="J309" t="s">
        <v>1301</v>
      </c>
    </row>
    <row r="310" spans="1:10" x14ac:dyDescent="0.3">
      <c r="A310" t="s">
        <v>1050</v>
      </c>
      <c r="B310" t="s">
        <v>147</v>
      </c>
      <c r="C310" t="s">
        <v>1301</v>
      </c>
      <c r="D310" t="s">
        <v>1301</v>
      </c>
      <c r="E310" t="s">
        <v>1301</v>
      </c>
      <c r="F310" t="s">
        <v>1301</v>
      </c>
      <c r="G310" t="s">
        <v>1301</v>
      </c>
      <c r="H310" t="s">
        <v>1301</v>
      </c>
      <c r="I310" t="s">
        <v>1301</v>
      </c>
      <c r="J310" t="s">
        <v>1301</v>
      </c>
    </row>
    <row r="311" spans="1:10" x14ac:dyDescent="0.3">
      <c r="A311" t="s">
        <v>1051</v>
      </c>
      <c r="B311" t="s">
        <v>1052</v>
      </c>
      <c r="C311" t="s">
        <v>1301</v>
      </c>
      <c r="D311" t="s">
        <v>1301</v>
      </c>
      <c r="E311" t="s">
        <v>1301</v>
      </c>
      <c r="F311" t="s">
        <v>1301</v>
      </c>
      <c r="G311" t="s">
        <v>1301</v>
      </c>
      <c r="H311" t="s">
        <v>1301</v>
      </c>
      <c r="I311" t="s">
        <v>1301</v>
      </c>
      <c r="J311" t="s">
        <v>1301</v>
      </c>
    </row>
    <row r="312" spans="1:10" x14ac:dyDescent="0.3">
      <c r="A312" t="s">
        <v>1053</v>
      </c>
      <c r="B312" t="s">
        <v>1054</v>
      </c>
      <c r="C312" t="s">
        <v>1301</v>
      </c>
      <c r="D312" t="s">
        <v>1301</v>
      </c>
      <c r="E312" t="s">
        <v>1301</v>
      </c>
      <c r="F312" t="s">
        <v>1301</v>
      </c>
      <c r="G312" t="s">
        <v>1301</v>
      </c>
      <c r="H312" t="s">
        <v>1301</v>
      </c>
      <c r="I312" t="s">
        <v>1301</v>
      </c>
      <c r="J312" t="s">
        <v>1301</v>
      </c>
    </row>
    <row r="313" spans="1:10" x14ac:dyDescent="0.3">
      <c r="A313" t="s">
        <v>1055</v>
      </c>
      <c r="B313" t="s">
        <v>1056</v>
      </c>
      <c r="C313" t="s">
        <v>1301</v>
      </c>
      <c r="D313" t="s">
        <v>1301</v>
      </c>
      <c r="E313" t="s">
        <v>1301</v>
      </c>
      <c r="F313" t="s">
        <v>1301</v>
      </c>
      <c r="G313" t="s">
        <v>1301</v>
      </c>
      <c r="H313" t="s">
        <v>1301</v>
      </c>
      <c r="I313" t="s">
        <v>1301</v>
      </c>
      <c r="J313" t="s">
        <v>1301</v>
      </c>
    </row>
    <row r="314" spans="1:10" x14ac:dyDescent="0.3">
      <c r="A314" t="s">
        <v>1406</v>
      </c>
      <c r="B314" t="s">
        <v>1407</v>
      </c>
      <c r="C314" t="s">
        <v>1301</v>
      </c>
      <c r="D314" t="s">
        <v>1301</v>
      </c>
      <c r="E314" t="s">
        <v>1301</v>
      </c>
      <c r="F314" t="s">
        <v>1301</v>
      </c>
      <c r="G314" t="s">
        <v>1301</v>
      </c>
      <c r="H314" t="s">
        <v>1301</v>
      </c>
      <c r="I314" t="s">
        <v>1301</v>
      </c>
      <c r="J314" t="s">
        <v>1301</v>
      </c>
    </row>
    <row r="315" spans="1:10" x14ac:dyDescent="0.3">
      <c r="A315" t="s">
        <v>1408</v>
      </c>
      <c r="B315" t="s">
        <v>1409</v>
      </c>
      <c r="C315" t="s">
        <v>1301</v>
      </c>
      <c r="D315" t="s">
        <v>1301</v>
      </c>
      <c r="E315" t="s">
        <v>1301</v>
      </c>
      <c r="F315" t="s">
        <v>1301</v>
      </c>
      <c r="G315" t="s">
        <v>1301</v>
      </c>
      <c r="H315" t="s">
        <v>1301</v>
      </c>
      <c r="I315" t="s">
        <v>1301</v>
      </c>
      <c r="J315" t="s">
        <v>1301</v>
      </c>
    </row>
    <row r="316" spans="1:10" x14ac:dyDescent="0.3">
      <c r="A316" t="s">
        <v>1057</v>
      </c>
      <c r="B316" t="s">
        <v>1058</v>
      </c>
      <c r="C316" t="s">
        <v>1301</v>
      </c>
      <c r="D316" t="s">
        <v>1301</v>
      </c>
      <c r="E316" t="s">
        <v>1301</v>
      </c>
      <c r="F316" t="s">
        <v>1301</v>
      </c>
      <c r="G316" t="s">
        <v>1301</v>
      </c>
      <c r="H316" t="s">
        <v>1301</v>
      </c>
      <c r="I316" t="s">
        <v>1301</v>
      </c>
      <c r="J316" t="s">
        <v>1301</v>
      </c>
    </row>
    <row r="317" spans="1:10" x14ac:dyDescent="0.3">
      <c r="A317" t="s">
        <v>1057</v>
      </c>
      <c r="B317" t="s">
        <v>1059</v>
      </c>
      <c r="C317" t="s">
        <v>1301</v>
      </c>
      <c r="D317" t="s">
        <v>1301</v>
      </c>
      <c r="E317" t="s">
        <v>1301</v>
      </c>
      <c r="F317" t="s">
        <v>1301</v>
      </c>
      <c r="G317" t="s">
        <v>1301</v>
      </c>
      <c r="H317" t="s">
        <v>1301</v>
      </c>
      <c r="I317" t="s">
        <v>1301</v>
      </c>
      <c r="J317" t="s">
        <v>1301</v>
      </c>
    </row>
    <row r="318" spans="1:10" x14ac:dyDescent="0.3">
      <c r="A318" t="s">
        <v>1060</v>
      </c>
      <c r="B318" t="s">
        <v>1061</v>
      </c>
      <c r="C318" t="s">
        <v>1301</v>
      </c>
      <c r="D318" t="s">
        <v>1301</v>
      </c>
      <c r="E318" t="s">
        <v>1301</v>
      </c>
      <c r="F318" t="s">
        <v>1301</v>
      </c>
      <c r="G318" t="s">
        <v>1301</v>
      </c>
      <c r="H318" t="s">
        <v>1301</v>
      </c>
      <c r="I318" t="s">
        <v>1301</v>
      </c>
      <c r="J318" t="s">
        <v>1301</v>
      </c>
    </row>
    <row r="319" spans="1:10" x14ac:dyDescent="0.3">
      <c r="A319" t="s">
        <v>334</v>
      </c>
      <c r="B319" t="s">
        <v>335</v>
      </c>
      <c r="C319" t="s">
        <v>1301</v>
      </c>
      <c r="D319" t="s">
        <v>1301</v>
      </c>
      <c r="E319" t="s">
        <v>1301</v>
      </c>
      <c r="F319" t="s">
        <v>1301</v>
      </c>
      <c r="G319" t="s">
        <v>1301</v>
      </c>
      <c r="H319" t="s">
        <v>1301</v>
      </c>
      <c r="I319" t="s">
        <v>1301</v>
      </c>
      <c r="J319" t="s">
        <v>1301</v>
      </c>
    </row>
    <row r="320" spans="1:10" x14ac:dyDescent="0.3">
      <c r="A320" t="s">
        <v>1062</v>
      </c>
      <c r="B320" t="s">
        <v>1063</v>
      </c>
      <c r="C320" t="s">
        <v>1301</v>
      </c>
      <c r="D320" t="s">
        <v>1301</v>
      </c>
      <c r="E320" t="s">
        <v>1301</v>
      </c>
      <c r="F320" t="s">
        <v>1301</v>
      </c>
      <c r="G320" t="s">
        <v>1301</v>
      </c>
      <c r="H320" t="s">
        <v>1301</v>
      </c>
      <c r="I320" t="s">
        <v>1301</v>
      </c>
      <c r="J320" t="s">
        <v>1301</v>
      </c>
    </row>
    <row r="321" spans="1:10" x14ac:dyDescent="0.3">
      <c r="A321" t="s">
        <v>1411</v>
      </c>
      <c r="B321" t="s">
        <v>1412</v>
      </c>
      <c r="C321" t="s">
        <v>1301</v>
      </c>
      <c r="D321" t="s">
        <v>1301</v>
      </c>
      <c r="E321" t="s">
        <v>1301</v>
      </c>
      <c r="F321" t="s">
        <v>1301</v>
      </c>
      <c r="G321" t="s">
        <v>1301</v>
      </c>
      <c r="H321" t="s">
        <v>1301</v>
      </c>
      <c r="I321" t="s">
        <v>1301</v>
      </c>
      <c r="J321" t="s">
        <v>1301</v>
      </c>
    </row>
    <row r="322" spans="1:10" x14ac:dyDescent="0.3">
      <c r="A322" t="s">
        <v>1413</v>
      </c>
      <c r="B322" t="s">
        <v>1414</v>
      </c>
      <c r="C322" t="s">
        <v>1301</v>
      </c>
      <c r="D322" t="s">
        <v>1301</v>
      </c>
      <c r="E322" t="s">
        <v>1301</v>
      </c>
      <c r="F322" t="s">
        <v>1301</v>
      </c>
      <c r="G322" t="s">
        <v>1301</v>
      </c>
      <c r="H322" t="s">
        <v>1301</v>
      </c>
      <c r="I322" t="s">
        <v>1301</v>
      </c>
      <c r="J322" t="s">
        <v>1301</v>
      </c>
    </row>
    <row r="323" spans="1:10" x14ac:dyDescent="0.3">
      <c r="A323" t="s">
        <v>336</v>
      </c>
      <c r="B323" t="s">
        <v>337</v>
      </c>
      <c r="C323" t="s">
        <v>1301</v>
      </c>
      <c r="D323" t="s">
        <v>1301</v>
      </c>
      <c r="E323" t="s">
        <v>1301</v>
      </c>
      <c r="F323" t="s">
        <v>1301</v>
      </c>
      <c r="G323" t="s">
        <v>1301</v>
      </c>
      <c r="H323" t="s">
        <v>1301</v>
      </c>
      <c r="I323" t="s">
        <v>1301</v>
      </c>
      <c r="J323" t="s">
        <v>1301</v>
      </c>
    </row>
    <row r="324" spans="1:10" x14ac:dyDescent="0.3">
      <c r="A324" t="s">
        <v>338</v>
      </c>
      <c r="B324" t="s">
        <v>339</v>
      </c>
      <c r="C324" t="s">
        <v>1301</v>
      </c>
      <c r="D324" t="s">
        <v>1301</v>
      </c>
      <c r="E324" t="s">
        <v>1301</v>
      </c>
      <c r="F324" t="s">
        <v>1301</v>
      </c>
      <c r="G324" t="s">
        <v>1301</v>
      </c>
      <c r="H324" t="s">
        <v>1301</v>
      </c>
      <c r="I324" t="s">
        <v>1301</v>
      </c>
      <c r="J324" t="s">
        <v>1301</v>
      </c>
    </row>
    <row r="325" spans="1:10" x14ac:dyDescent="0.3">
      <c r="A325" t="s">
        <v>340</v>
      </c>
      <c r="B325" t="s">
        <v>341</v>
      </c>
      <c r="C325" t="s">
        <v>1301</v>
      </c>
      <c r="D325" t="s">
        <v>1301</v>
      </c>
      <c r="E325" t="s">
        <v>1301</v>
      </c>
      <c r="F325" t="s">
        <v>1301</v>
      </c>
      <c r="G325" t="s">
        <v>1301</v>
      </c>
      <c r="H325" t="s">
        <v>1301</v>
      </c>
      <c r="I325" t="s">
        <v>1301</v>
      </c>
      <c r="J325" t="s">
        <v>1301</v>
      </c>
    </row>
    <row r="326" spans="1:10" x14ac:dyDescent="0.3">
      <c r="A326" t="s">
        <v>1064</v>
      </c>
      <c r="B326" t="s">
        <v>1065</v>
      </c>
      <c r="C326" t="s">
        <v>1301</v>
      </c>
      <c r="D326" t="s">
        <v>1301</v>
      </c>
      <c r="E326" t="s">
        <v>1301</v>
      </c>
      <c r="F326" t="s">
        <v>1301</v>
      </c>
      <c r="G326" t="s">
        <v>1301</v>
      </c>
      <c r="H326" t="s">
        <v>1301</v>
      </c>
      <c r="I326" t="s">
        <v>1301</v>
      </c>
      <c r="J326" t="s">
        <v>1301</v>
      </c>
    </row>
    <row r="327" spans="1:10" x14ac:dyDescent="0.3">
      <c r="A327" t="s">
        <v>342</v>
      </c>
      <c r="B327" t="s">
        <v>343</v>
      </c>
      <c r="C327" t="s">
        <v>1301</v>
      </c>
      <c r="D327" t="s">
        <v>1301</v>
      </c>
      <c r="E327" t="s">
        <v>1301</v>
      </c>
      <c r="F327" t="s">
        <v>1301</v>
      </c>
      <c r="G327" t="s">
        <v>1301</v>
      </c>
      <c r="H327" t="s">
        <v>1301</v>
      </c>
      <c r="I327" t="s">
        <v>1301</v>
      </c>
      <c r="J327" t="s">
        <v>1301</v>
      </c>
    </row>
    <row r="328" spans="1:10" x14ac:dyDescent="0.3">
      <c r="A328" t="s">
        <v>1415</v>
      </c>
      <c r="B328" t="s">
        <v>1416</v>
      </c>
      <c r="C328" t="s">
        <v>1301</v>
      </c>
      <c r="D328" t="s">
        <v>1301</v>
      </c>
      <c r="E328" t="s">
        <v>1301</v>
      </c>
      <c r="F328" t="s">
        <v>1301</v>
      </c>
      <c r="G328" t="s">
        <v>1301</v>
      </c>
      <c r="H328" t="s">
        <v>1301</v>
      </c>
      <c r="I328" t="s">
        <v>1301</v>
      </c>
      <c r="J328" t="s">
        <v>1301</v>
      </c>
    </row>
    <row r="329" spans="1:10" x14ac:dyDescent="0.3">
      <c r="A329" t="s">
        <v>344</v>
      </c>
      <c r="B329" t="s">
        <v>345</v>
      </c>
      <c r="C329" t="s">
        <v>1301</v>
      </c>
      <c r="D329" t="s">
        <v>1301</v>
      </c>
      <c r="E329" t="s">
        <v>1301</v>
      </c>
      <c r="F329" t="s">
        <v>1301</v>
      </c>
      <c r="G329" t="s">
        <v>1301</v>
      </c>
      <c r="H329" t="s">
        <v>1301</v>
      </c>
      <c r="I329" t="s">
        <v>1301</v>
      </c>
      <c r="J329" t="s">
        <v>1301</v>
      </c>
    </row>
    <row r="330" spans="1:10" x14ac:dyDescent="0.3">
      <c r="A330" t="s">
        <v>344</v>
      </c>
      <c r="B330" t="s">
        <v>346</v>
      </c>
      <c r="C330" t="s">
        <v>1301</v>
      </c>
      <c r="D330" t="s">
        <v>1301</v>
      </c>
      <c r="E330" t="s">
        <v>1301</v>
      </c>
      <c r="F330" t="s">
        <v>1301</v>
      </c>
      <c r="G330" t="s">
        <v>1301</v>
      </c>
      <c r="H330" t="s">
        <v>1301</v>
      </c>
      <c r="I330" t="s">
        <v>1301</v>
      </c>
      <c r="J330" t="s">
        <v>1301</v>
      </c>
    </row>
    <row r="331" spans="1:10" x14ac:dyDescent="0.3">
      <c r="A331" t="s">
        <v>347</v>
      </c>
      <c r="B331" t="s">
        <v>348</v>
      </c>
      <c r="C331" t="s">
        <v>1301</v>
      </c>
      <c r="D331" t="s">
        <v>1301</v>
      </c>
      <c r="E331" t="s">
        <v>1301</v>
      </c>
      <c r="F331" t="s">
        <v>1301</v>
      </c>
      <c r="G331" t="s">
        <v>1301</v>
      </c>
      <c r="H331" t="s">
        <v>1301</v>
      </c>
      <c r="I331" t="s">
        <v>1301</v>
      </c>
      <c r="J331" t="s">
        <v>1301</v>
      </c>
    </row>
    <row r="332" spans="1:10" x14ac:dyDescent="0.3">
      <c r="A332" t="s">
        <v>1417</v>
      </c>
      <c r="B332" t="s">
        <v>1418</v>
      </c>
      <c r="C332" t="s">
        <v>1301</v>
      </c>
      <c r="D332" t="s">
        <v>1301</v>
      </c>
      <c r="E332" t="s">
        <v>1301</v>
      </c>
      <c r="F332" t="s">
        <v>1301</v>
      </c>
      <c r="G332" t="s">
        <v>1301</v>
      </c>
      <c r="H332" t="s">
        <v>1301</v>
      </c>
      <c r="I332" t="s">
        <v>1301</v>
      </c>
      <c r="J332" t="s">
        <v>1301</v>
      </c>
    </row>
    <row r="333" spans="1:10" x14ac:dyDescent="0.3">
      <c r="A333" t="s">
        <v>1066</v>
      </c>
      <c r="B333" t="s">
        <v>1067</v>
      </c>
      <c r="C333" t="s">
        <v>1301</v>
      </c>
      <c r="D333" t="s">
        <v>1301</v>
      </c>
      <c r="E333" t="s">
        <v>1301</v>
      </c>
      <c r="F333" t="s">
        <v>1301</v>
      </c>
      <c r="G333" t="s">
        <v>1301</v>
      </c>
      <c r="H333" t="s">
        <v>1301</v>
      </c>
      <c r="I333" t="s">
        <v>1301</v>
      </c>
      <c r="J333" t="s">
        <v>1301</v>
      </c>
    </row>
    <row r="334" spans="1:10" x14ac:dyDescent="0.3">
      <c r="A334" t="s">
        <v>1419</v>
      </c>
      <c r="B334" t="s">
        <v>1420</v>
      </c>
      <c r="C334" t="s">
        <v>1301</v>
      </c>
      <c r="D334" t="s">
        <v>1301</v>
      </c>
      <c r="E334" t="s">
        <v>1301</v>
      </c>
      <c r="F334" t="s">
        <v>1301</v>
      </c>
      <c r="G334" t="s">
        <v>1301</v>
      </c>
      <c r="H334" t="s">
        <v>1301</v>
      </c>
      <c r="I334" t="s">
        <v>1301</v>
      </c>
      <c r="J334" t="s">
        <v>1301</v>
      </c>
    </row>
    <row r="335" spans="1:10" x14ac:dyDescent="0.3">
      <c r="A335" t="s">
        <v>351</v>
      </c>
      <c r="B335" t="s">
        <v>352</v>
      </c>
      <c r="C335" t="s">
        <v>1301</v>
      </c>
      <c r="D335" t="s">
        <v>1301</v>
      </c>
      <c r="E335" t="s">
        <v>1301</v>
      </c>
      <c r="F335" t="s">
        <v>1301</v>
      </c>
      <c r="G335" t="s">
        <v>1301</v>
      </c>
      <c r="H335" t="s">
        <v>1301</v>
      </c>
      <c r="I335" t="s">
        <v>1301</v>
      </c>
      <c r="J335" t="s">
        <v>1301</v>
      </c>
    </row>
    <row r="336" spans="1:10" x14ac:dyDescent="0.3">
      <c r="A336" t="s">
        <v>1421</v>
      </c>
      <c r="B336" t="s">
        <v>1422</v>
      </c>
      <c r="C336" t="s">
        <v>1301</v>
      </c>
      <c r="D336" t="s">
        <v>1301</v>
      </c>
      <c r="E336" t="s">
        <v>1301</v>
      </c>
      <c r="F336" t="s">
        <v>1301</v>
      </c>
      <c r="G336" t="s">
        <v>1301</v>
      </c>
      <c r="H336" t="s">
        <v>1301</v>
      </c>
      <c r="I336" t="s">
        <v>1301</v>
      </c>
      <c r="J336" t="s">
        <v>1301</v>
      </c>
    </row>
    <row r="337" spans="1:10" x14ac:dyDescent="0.3">
      <c r="A337" t="s">
        <v>1068</v>
      </c>
      <c r="B337" t="s">
        <v>67</v>
      </c>
      <c r="C337" t="s">
        <v>1301</v>
      </c>
      <c r="D337" t="s">
        <v>1301</v>
      </c>
      <c r="E337" t="s">
        <v>1301</v>
      </c>
      <c r="F337" t="s">
        <v>1301</v>
      </c>
      <c r="G337" t="s">
        <v>1301</v>
      </c>
      <c r="H337" t="s">
        <v>1301</v>
      </c>
      <c r="I337" t="s">
        <v>1301</v>
      </c>
      <c r="J337" t="s">
        <v>1301</v>
      </c>
    </row>
    <row r="338" spans="1:10" x14ac:dyDescent="0.3">
      <c r="A338" t="s">
        <v>353</v>
      </c>
      <c r="B338" t="s">
        <v>354</v>
      </c>
      <c r="C338" t="s">
        <v>1301</v>
      </c>
      <c r="D338" t="s">
        <v>1301</v>
      </c>
      <c r="E338" t="s">
        <v>1301</v>
      </c>
      <c r="F338" t="s">
        <v>1301</v>
      </c>
      <c r="G338" t="s">
        <v>1301</v>
      </c>
      <c r="H338" t="s">
        <v>1301</v>
      </c>
      <c r="I338" t="s">
        <v>1301</v>
      </c>
      <c r="J338" t="s">
        <v>1301</v>
      </c>
    </row>
    <row r="339" spans="1:10" x14ac:dyDescent="0.3">
      <c r="A339" t="s">
        <v>355</v>
      </c>
      <c r="B339" t="s">
        <v>356</v>
      </c>
      <c r="C339" t="s">
        <v>1301</v>
      </c>
      <c r="D339" t="s">
        <v>1301</v>
      </c>
      <c r="E339" t="s">
        <v>1301</v>
      </c>
      <c r="F339" t="s">
        <v>1301</v>
      </c>
      <c r="G339" t="s">
        <v>1301</v>
      </c>
      <c r="H339" t="s">
        <v>1301</v>
      </c>
      <c r="I339" t="s">
        <v>1301</v>
      </c>
      <c r="J339" t="s">
        <v>1301</v>
      </c>
    </row>
    <row r="340" spans="1:10" x14ac:dyDescent="0.3">
      <c r="A340" t="s">
        <v>357</v>
      </c>
      <c r="B340" t="s">
        <v>358</v>
      </c>
      <c r="C340" t="s">
        <v>1301</v>
      </c>
      <c r="D340" t="s">
        <v>1301</v>
      </c>
      <c r="E340" t="s">
        <v>1301</v>
      </c>
      <c r="F340" t="s">
        <v>1301</v>
      </c>
      <c r="G340" t="s">
        <v>1301</v>
      </c>
      <c r="H340" t="s">
        <v>1301</v>
      </c>
      <c r="I340" t="s">
        <v>1301</v>
      </c>
      <c r="J340" t="s">
        <v>1301</v>
      </c>
    </row>
    <row r="341" spans="1:10" x14ac:dyDescent="0.3">
      <c r="A341" t="s">
        <v>1423</v>
      </c>
      <c r="B341" t="s">
        <v>1424</v>
      </c>
      <c r="C341" t="s">
        <v>1301</v>
      </c>
      <c r="D341" t="s">
        <v>1301</v>
      </c>
      <c r="E341" t="s">
        <v>1301</v>
      </c>
      <c r="F341" t="s">
        <v>1301</v>
      </c>
      <c r="G341" t="s">
        <v>1301</v>
      </c>
      <c r="H341" t="s">
        <v>1301</v>
      </c>
      <c r="I341" t="s">
        <v>1301</v>
      </c>
      <c r="J341" t="s">
        <v>1301</v>
      </c>
    </row>
    <row r="342" spans="1:10" x14ac:dyDescent="0.3">
      <c r="A342" t="s">
        <v>359</v>
      </c>
      <c r="B342" t="s">
        <v>360</v>
      </c>
      <c r="C342" t="s">
        <v>1301</v>
      </c>
      <c r="D342" t="s">
        <v>1301</v>
      </c>
      <c r="E342" t="s">
        <v>1301</v>
      </c>
      <c r="F342" t="s">
        <v>1301</v>
      </c>
      <c r="G342" t="s">
        <v>1301</v>
      </c>
      <c r="H342" t="s">
        <v>1301</v>
      </c>
      <c r="I342" t="s">
        <v>1301</v>
      </c>
      <c r="J342" t="s">
        <v>1301</v>
      </c>
    </row>
    <row r="343" spans="1:10" x14ac:dyDescent="0.3">
      <c r="A343" t="s">
        <v>1425</v>
      </c>
      <c r="B343" t="s">
        <v>1426</v>
      </c>
      <c r="C343" t="s">
        <v>1301</v>
      </c>
      <c r="D343" t="s">
        <v>1301</v>
      </c>
      <c r="E343" t="s">
        <v>1301</v>
      </c>
      <c r="F343" t="s">
        <v>1301</v>
      </c>
      <c r="G343" t="s">
        <v>1301</v>
      </c>
      <c r="H343" t="s">
        <v>1301</v>
      </c>
      <c r="I343" t="s">
        <v>1301</v>
      </c>
      <c r="J343" t="s">
        <v>1301</v>
      </c>
    </row>
    <row r="344" spans="1:10" x14ac:dyDescent="0.3">
      <c r="A344" t="s">
        <v>361</v>
      </c>
      <c r="B344" t="s">
        <v>362</v>
      </c>
      <c r="C344" t="s">
        <v>1301</v>
      </c>
      <c r="D344" t="s">
        <v>1301</v>
      </c>
      <c r="E344" t="s">
        <v>1301</v>
      </c>
      <c r="F344" t="s">
        <v>1301</v>
      </c>
      <c r="G344" t="s">
        <v>1301</v>
      </c>
      <c r="H344" t="s">
        <v>1301</v>
      </c>
      <c r="I344" t="s">
        <v>1301</v>
      </c>
      <c r="J344" t="s">
        <v>1301</v>
      </c>
    </row>
    <row r="345" spans="1:10" x14ac:dyDescent="0.3">
      <c r="A345" t="s">
        <v>1427</v>
      </c>
      <c r="B345" t="s">
        <v>1428</v>
      </c>
      <c r="C345" t="s">
        <v>1301</v>
      </c>
      <c r="D345" t="s">
        <v>1301</v>
      </c>
      <c r="E345" t="s">
        <v>1301</v>
      </c>
      <c r="F345" t="s">
        <v>1301</v>
      </c>
      <c r="G345" t="s">
        <v>1301</v>
      </c>
      <c r="H345" t="s">
        <v>1301</v>
      </c>
      <c r="I345" t="s">
        <v>1301</v>
      </c>
      <c r="J345" t="s">
        <v>1301</v>
      </c>
    </row>
    <row r="346" spans="1:10" x14ac:dyDescent="0.3">
      <c r="A346" t="s">
        <v>363</v>
      </c>
      <c r="B346" t="s">
        <v>364</v>
      </c>
      <c r="C346" t="s">
        <v>1301</v>
      </c>
      <c r="D346" t="s">
        <v>1301</v>
      </c>
      <c r="E346" t="s">
        <v>1301</v>
      </c>
      <c r="F346" t="s">
        <v>1301</v>
      </c>
      <c r="G346" t="s">
        <v>1301</v>
      </c>
      <c r="H346" t="s">
        <v>1301</v>
      </c>
      <c r="I346" t="s">
        <v>1301</v>
      </c>
      <c r="J346" t="s">
        <v>1301</v>
      </c>
    </row>
    <row r="347" spans="1:10" x14ac:dyDescent="0.3">
      <c r="A347" t="s">
        <v>1069</v>
      </c>
      <c r="B347" t="s">
        <v>1070</v>
      </c>
      <c r="C347" t="s">
        <v>1301</v>
      </c>
      <c r="D347" t="s">
        <v>1301</v>
      </c>
      <c r="E347" t="s">
        <v>1301</v>
      </c>
      <c r="F347" t="s">
        <v>1301</v>
      </c>
      <c r="G347" t="s">
        <v>1301</v>
      </c>
      <c r="H347" t="s">
        <v>1301</v>
      </c>
      <c r="I347" t="s">
        <v>1301</v>
      </c>
      <c r="J347" t="s">
        <v>1301</v>
      </c>
    </row>
    <row r="348" spans="1:10" x14ac:dyDescent="0.3">
      <c r="A348" t="s">
        <v>365</v>
      </c>
      <c r="B348" t="s">
        <v>366</v>
      </c>
      <c r="C348" t="s">
        <v>1301</v>
      </c>
      <c r="D348" t="s">
        <v>1301</v>
      </c>
      <c r="E348" t="s">
        <v>1301</v>
      </c>
      <c r="F348" t="s">
        <v>1301</v>
      </c>
      <c r="G348" t="s">
        <v>1301</v>
      </c>
      <c r="H348" t="s">
        <v>1301</v>
      </c>
      <c r="I348" t="s">
        <v>1301</v>
      </c>
      <c r="J348" t="s">
        <v>1301</v>
      </c>
    </row>
    <row r="349" spans="1:10" x14ac:dyDescent="0.3">
      <c r="A349" t="s">
        <v>1071</v>
      </c>
      <c r="B349" t="s">
        <v>103</v>
      </c>
      <c r="C349" t="s">
        <v>1301</v>
      </c>
      <c r="D349" t="s">
        <v>1301</v>
      </c>
      <c r="E349" t="s">
        <v>1301</v>
      </c>
      <c r="F349" t="s">
        <v>1301</v>
      </c>
      <c r="G349" t="s">
        <v>1301</v>
      </c>
      <c r="H349" t="s">
        <v>1301</v>
      </c>
      <c r="I349" t="s">
        <v>1301</v>
      </c>
      <c r="J349" t="s">
        <v>1301</v>
      </c>
    </row>
    <row r="350" spans="1:10" x14ac:dyDescent="0.3">
      <c r="A350" t="s">
        <v>367</v>
      </c>
      <c r="B350" t="s">
        <v>1072</v>
      </c>
      <c r="C350" t="s">
        <v>1301</v>
      </c>
      <c r="D350" t="s">
        <v>1301</v>
      </c>
      <c r="E350" t="s">
        <v>1301</v>
      </c>
      <c r="F350" t="s">
        <v>1301</v>
      </c>
      <c r="G350" t="s">
        <v>1301</v>
      </c>
      <c r="H350" t="s">
        <v>1301</v>
      </c>
      <c r="I350" t="s">
        <v>1301</v>
      </c>
      <c r="J350" t="s">
        <v>1301</v>
      </c>
    </row>
    <row r="351" spans="1:10" x14ac:dyDescent="0.3">
      <c r="A351" t="s">
        <v>369</v>
      </c>
      <c r="B351" t="s">
        <v>370</v>
      </c>
      <c r="C351" t="s">
        <v>1301</v>
      </c>
      <c r="D351" t="s">
        <v>1301</v>
      </c>
      <c r="E351" t="s">
        <v>1301</v>
      </c>
      <c r="F351" t="s">
        <v>1301</v>
      </c>
      <c r="G351" t="s">
        <v>1301</v>
      </c>
      <c r="H351" t="s">
        <v>1301</v>
      </c>
      <c r="I351" t="s">
        <v>1301</v>
      </c>
      <c r="J351" t="s">
        <v>1301</v>
      </c>
    </row>
    <row r="352" spans="1:10" x14ac:dyDescent="0.3">
      <c r="A352" t="s">
        <v>1429</v>
      </c>
      <c r="B352" t="s">
        <v>1431</v>
      </c>
      <c r="C352" t="s">
        <v>1301</v>
      </c>
      <c r="D352" t="s">
        <v>1301</v>
      </c>
      <c r="E352" t="s">
        <v>1301</v>
      </c>
      <c r="F352" t="s">
        <v>1301</v>
      </c>
      <c r="G352" t="s">
        <v>1301</v>
      </c>
      <c r="H352" t="s">
        <v>1301</v>
      </c>
      <c r="I352" t="s">
        <v>1301</v>
      </c>
      <c r="J352" t="s">
        <v>1301</v>
      </c>
    </row>
    <row r="353" spans="1:10" x14ac:dyDescent="0.3">
      <c r="A353" t="s">
        <v>1432</v>
      </c>
      <c r="B353" t="s">
        <v>1433</v>
      </c>
      <c r="C353" t="s">
        <v>1301</v>
      </c>
      <c r="D353" t="s">
        <v>1301</v>
      </c>
      <c r="E353" t="s">
        <v>1301</v>
      </c>
      <c r="F353" t="s">
        <v>1301</v>
      </c>
      <c r="G353" t="s">
        <v>1301</v>
      </c>
      <c r="H353" t="s">
        <v>1301</v>
      </c>
      <c r="I353" t="s">
        <v>1301</v>
      </c>
      <c r="J353" t="s">
        <v>1301</v>
      </c>
    </row>
    <row r="354" spans="1:10" x14ac:dyDescent="0.3">
      <c r="A354" t="s">
        <v>371</v>
      </c>
      <c r="B354" t="s">
        <v>372</v>
      </c>
      <c r="C354" t="s">
        <v>1301</v>
      </c>
      <c r="D354" t="s">
        <v>1301</v>
      </c>
      <c r="E354" t="s">
        <v>1301</v>
      </c>
      <c r="F354" t="s">
        <v>1301</v>
      </c>
      <c r="G354" t="s">
        <v>1301</v>
      </c>
      <c r="H354" t="s">
        <v>1301</v>
      </c>
      <c r="I354" t="s">
        <v>1301</v>
      </c>
      <c r="J354" t="s">
        <v>1301</v>
      </c>
    </row>
    <row r="355" spans="1:10" x14ac:dyDescent="0.3">
      <c r="A355" t="s">
        <v>1434</v>
      </c>
      <c r="B355" t="s">
        <v>1435</v>
      </c>
      <c r="C355" t="s">
        <v>1301</v>
      </c>
      <c r="D355" t="s">
        <v>1301</v>
      </c>
      <c r="E355" t="s">
        <v>1301</v>
      </c>
      <c r="F355" t="s">
        <v>1301</v>
      </c>
      <c r="G355" t="s">
        <v>1301</v>
      </c>
      <c r="H355" t="s">
        <v>1301</v>
      </c>
      <c r="I355" t="s">
        <v>1301</v>
      </c>
      <c r="J355" t="s">
        <v>1301</v>
      </c>
    </row>
    <row r="356" spans="1:10" x14ac:dyDescent="0.3">
      <c r="A356" t="s">
        <v>373</v>
      </c>
      <c r="B356" t="s">
        <v>374</v>
      </c>
      <c r="C356" t="s">
        <v>1301</v>
      </c>
      <c r="D356" t="s">
        <v>1301</v>
      </c>
      <c r="E356" t="s">
        <v>1301</v>
      </c>
      <c r="F356" t="s">
        <v>1301</v>
      </c>
      <c r="G356" t="s">
        <v>1301</v>
      </c>
      <c r="H356" t="s">
        <v>1301</v>
      </c>
      <c r="I356" t="s">
        <v>1301</v>
      </c>
      <c r="J356" t="s">
        <v>1301</v>
      </c>
    </row>
    <row r="357" spans="1:10" x14ac:dyDescent="0.3">
      <c r="A357" t="s">
        <v>1073</v>
      </c>
      <c r="B357" t="s">
        <v>1074</v>
      </c>
      <c r="C357" t="s">
        <v>1301</v>
      </c>
      <c r="D357" t="s">
        <v>1301</v>
      </c>
      <c r="E357" t="s">
        <v>1301</v>
      </c>
      <c r="F357" t="s">
        <v>1301</v>
      </c>
      <c r="G357" t="s">
        <v>1301</v>
      </c>
      <c r="H357" t="s">
        <v>1301</v>
      </c>
      <c r="I357" t="s">
        <v>1301</v>
      </c>
      <c r="J357" t="s">
        <v>1301</v>
      </c>
    </row>
    <row r="358" spans="1:10" x14ac:dyDescent="0.3">
      <c r="A358" t="s">
        <v>1075</v>
      </c>
      <c r="B358" t="s">
        <v>1076</v>
      </c>
      <c r="C358" t="s">
        <v>1301</v>
      </c>
      <c r="D358" t="s">
        <v>1301</v>
      </c>
      <c r="E358" t="s">
        <v>1301</v>
      </c>
      <c r="F358" t="s">
        <v>1301</v>
      </c>
      <c r="G358" t="s">
        <v>1301</v>
      </c>
      <c r="H358" t="s">
        <v>1301</v>
      </c>
      <c r="I358" t="s">
        <v>1301</v>
      </c>
      <c r="J358" t="s">
        <v>1301</v>
      </c>
    </row>
    <row r="359" spans="1:10" x14ac:dyDescent="0.3">
      <c r="A359" t="s">
        <v>375</v>
      </c>
      <c r="B359" t="s">
        <v>376</v>
      </c>
      <c r="C359" t="s">
        <v>1301</v>
      </c>
      <c r="D359" t="s">
        <v>1301</v>
      </c>
      <c r="E359" t="s">
        <v>1301</v>
      </c>
      <c r="F359" t="s">
        <v>1301</v>
      </c>
      <c r="G359" t="s">
        <v>1301</v>
      </c>
      <c r="H359" t="s">
        <v>1301</v>
      </c>
      <c r="I359" t="s">
        <v>1301</v>
      </c>
      <c r="J359" t="s">
        <v>1301</v>
      </c>
    </row>
    <row r="360" spans="1:10" x14ac:dyDescent="0.3">
      <c r="A360" t="s">
        <v>377</v>
      </c>
      <c r="B360" t="s">
        <v>378</v>
      </c>
      <c r="C360" t="s">
        <v>1301</v>
      </c>
      <c r="D360" t="s">
        <v>1301</v>
      </c>
      <c r="E360" t="s">
        <v>1301</v>
      </c>
      <c r="F360" t="s">
        <v>1301</v>
      </c>
      <c r="G360" t="s">
        <v>1301</v>
      </c>
      <c r="H360" t="s">
        <v>1301</v>
      </c>
      <c r="I360" t="s">
        <v>1301</v>
      </c>
      <c r="J360" t="s">
        <v>1301</v>
      </c>
    </row>
    <row r="361" spans="1:10" x14ac:dyDescent="0.3">
      <c r="A361" t="s">
        <v>590</v>
      </c>
      <c r="B361" t="s">
        <v>591</v>
      </c>
      <c r="C361" t="s">
        <v>1301</v>
      </c>
      <c r="D361" t="s">
        <v>1301</v>
      </c>
      <c r="E361" t="s">
        <v>1301</v>
      </c>
      <c r="F361" t="s">
        <v>1301</v>
      </c>
      <c r="G361" t="s">
        <v>1301</v>
      </c>
      <c r="H361" t="s">
        <v>1301</v>
      </c>
      <c r="I361" t="s">
        <v>1301</v>
      </c>
      <c r="J361" t="s">
        <v>1301</v>
      </c>
    </row>
    <row r="362" spans="1:10" x14ac:dyDescent="0.3">
      <c r="A362" t="s">
        <v>592</v>
      </c>
      <c r="B362" t="s">
        <v>593</v>
      </c>
      <c r="C362" t="s">
        <v>1301</v>
      </c>
      <c r="D362" t="s">
        <v>1301</v>
      </c>
      <c r="E362" t="s">
        <v>1301</v>
      </c>
      <c r="F362" t="s">
        <v>1301</v>
      </c>
      <c r="G362" t="s">
        <v>1301</v>
      </c>
      <c r="H362" t="s">
        <v>1301</v>
      </c>
      <c r="I362" t="s">
        <v>1301</v>
      </c>
      <c r="J362" t="s">
        <v>1301</v>
      </c>
    </row>
    <row r="363" spans="1:10" x14ac:dyDescent="0.3">
      <c r="A363" t="s">
        <v>381</v>
      </c>
      <c r="B363" t="s">
        <v>382</v>
      </c>
      <c r="C363" t="s">
        <v>1301</v>
      </c>
      <c r="D363" t="s">
        <v>1301</v>
      </c>
      <c r="E363" t="s">
        <v>1301</v>
      </c>
      <c r="F363" t="s">
        <v>1301</v>
      </c>
      <c r="G363" t="s">
        <v>1301</v>
      </c>
      <c r="H363" t="s">
        <v>1301</v>
      </c>
      <c r="I363" t="s">
        <v>1301</v>
      </c>
      <c r="J363" t="s">
        <v>1301</v>
      </c>
    </row>
    <row r="364" spans="1:10" x14ac:dyDescent="0.3">
      <c r="A364" t="s">
        <v>383</v>
      </c>
      <c r="B364" t="s">
        <v>384</v>
      </c>
      <c r="C364" t="s">
        <v>1301</v>
      </c>
      <c r="D364" t="s">
        <v>1301</v>
      </c>
      <c r="E364" t="s">
        <v>1301</v>
      </c>
      <c r="F364" t="s">
        <v>1301</v>
      </c>
      <c r="G364" t="s">
        <v>1301</v>
      </c>
      <c r="H364" t="s">
        <v>1301</v>
      </c>
      <c r="I364" t="s">
        <v>1301</v>
      </c>
      <c r="J364" t="s">
        <v>1301</v>
      </c>
    </row>
    <row r="365" spans="1:10" x14ac:dyDescent="0.3">
      <c r="A365" t="s">
        <v>1077</v>
      </c>
      <c r="B365" t="s">
        <v>1078</v>
      </c>
      <c r="C365" t="s">
        <v>1301</v>
      </c>
      <c r="D365" t="s">
        <v>1301</v>
      </c>
      <c r="E365" t="s">
        <v>1301</v>
      </c>
      <c r="F365" t="s">
        <v>1301</v>
      </c>
      <c r="G365" t="s">
        <v>1301</v>
      </c>
      <c r="H365" t="s">
        <v>1301</v>
      </c>
      <c r="I365" t="s">
        <v>1301</v>
      </c>
      <c r="J365" t="s">
        <v>1301</v>
      </c>
    </row>
    <row r="366" spans="1:10" x14ac:dyDescent="0.3">
      <c r="A366" t="s">
        <v>1436</v>
      </c>
      <c r="B366" t="s">
        <v>1437</v>
      </c>
      <c r="C366" t="s">
        <v>1301</v>
      </c>
      <c r="D366" t="s">
        <v>1301</v>
      </c>
      <c r="E366" t="s">
        <v>1301</v>
      </c>
      <c r="F366" t="s">
        <v>1301</v>
      </c>
      <c r="G366" t="s">
        <v>1301</v>
      </c>
      <c r="H366" t="s">
        <v>1301</v>
      </c>
      <c r="I366" t="s">
        <v>1301</v>
      </c>
      <c r="J366" t="s">
        <v>1301</v>
      </c>
    </row>
    <row r="367" spans="1:10" x14ac:dyDescent="0.3">
      <c r="A367" t="s">
        <v>594</v>
      </c>
      <c r="B367" t="s">
        <v>595</v>
      </c>
      <c r="C367" t="s">
        <v>1301</v>
      </c>
      <c r="D367" t="s">
        <v>1301</v>
      </c>
      <c r="E367" t="s">
        <v>1301</v>
      </c>
      <c r="F367" t="s">
        <v>1301</v>
      </c>
      <c r="G367" t="s">
        <v>1301</v>
      </c>
      <c r="H367" t="s">
        <v>1301</v>
      </c>
      <c r="I367" t="s">
        <v>1301</v>
      </c>
      <c r="J367" t="s">
        <v>1301</v>
      </c>
    </row>
    <row r="368" spans="1:10" x14ac:dyDescent="0.3">
      <c r="A368" t="s">
        <v>1438</v>
      </c>
      <c r="B368" t="s">
        <v>1439</v>
      </c>
      <c r="C368" t="s">
        <v>1307</v>
      </c>
      <c r="D368" t="s">
        <v>1438</v>
      </c>
      <c r="E368" t="s">
        <v>1301</v>
      </c>
      <c r="F368" t="s">
        <v>1301</v>
      </c>
      <c r="G368" t="s">
        <v>1301</v>
      </c>
      <c r="H368" t="s">
        <v>1301</v>
      </c>
      <c r="I368" t="s">
        <v>1301</v>
      </c>
      <c r="J368" t="s">
        <v>1301</v>
      </c>
    </row>
    <row r="369" spans="1:10" x14ac:dyDescent="0.3">
      <c r="A369" t="s">
        <v>385</v>
      </c>
      <c r="B369" t="s">
        <v>386</v>
      </c>
      <c r="C369" t="s">
        <v>1301</v>
      </c>
      <c r="D369" t="s">
        <v>1301</v>
      </c>
      <c r="E369" t="s">
        <v>1301</v>
      </c>
      <c r="F369" t="s">
        <v>1301</v>
      </c>
      <c r="G369" t="s">
        <v>1301</v>
      </c>
      <c r="H369" t="s">
        <v>1301</v>
      </c>
      <c r="I369" t="s">
        <v>1301</v>
      </c>
      <c r="J369" t="s">
        <v>1301</v>
      </c>
    </row>
    <row r="370" spans="1:10" x14ac:dyDescent="0.3">
      <c r="A370" t="s">
        <v>387</v>
      </c>
      <c r="B370" t="s">
        <v>388</v>
      </c>
      <c r="C370" t="s">
        <v>1301</v>
      </c>
      <c r="D370" t="s">
        <v>1301</v>
      </c>
      <c r="E370" t="s">
        <v>1301</v>
      </c>
      <c r="F370" t="s">
        <v>1301</v>
      </c>
      <c r="G370" t="s">
        <v>1301</v>
      </c>
      <c r="H370" t="s">
        <v>1301</v>
      </c>
      <c r="I370" t="s">
        <v>1301</v>
      </c>
      <c r="J370" t="s">
        <v>1301</v>
      </c>
    </row>
    <row r="371" spans="1:10" x14ac:dyDescent="0.3">
      <c r="A371" t="s">
        <v>1079</v>
      </c>
      <c r="B371" t="s">
        <v>1080</v>
      </c>
      <c r="C371" t="s">
        <v>1301</v>
      </c>
      <c r="D371" t="s">
        <v>1301</v>
      </c>
      <c r="E371" t="s">
        <v>1301</v>
      </c>
      <c r="F371" t="s">
        <v>1301</v>
      </c>
      <c r="G371" t="s">
        <v>1301</v>
      </c>
      <c r="H371" t="s">
        <v>1301</v>
      </c>
      <c r="I371" t="s">
        <v>1301</v>
      </c>
      <c r="J371" t="s">
        <v>1301</v>
      </c>
    </row>
    <row r="372" spans="1:10" x14ac:dyDescent="0.3">
      <c r="A372" t="s">
        <v>1440</v>
      </c>
      <c r="B372" t="s">
        <v>1441</v>
      </c>
      <c r="C372" t="s">
        <v>1301</v>
      </c>
      <c r="D372" t="s">
        <v>1301</v>
      </c>
      <c r="E372" t="s">
        <v>1301</v>
      </c>
      <c r="F372" t="s">
        <v>1301</v>
      </c>
      <c r="G372" t="s">
        <v>1301</v>
      </c>
      <c r="H372" t="s">
        <v>1301</v>
      </c>
      <c r="I372" t="s">
        <v>1301</v>
      </c>
      <c r="J372" t="s">
        <v>1301</v>
      </c>
    </row>
    <row r="373" spans="1:10" x14ac:dyDescent="0.3">
      <c r="A373" t="s">
        <v>389</v>
      </c>
      <c r="B373" t="s">
        <v>390</v>
      </c>
      <c r="C373" t="s">
        <v>1301</v>
      </c>
      <c r="D373" t="s">
        <v>1301</v>
      </c>
      <c r="E373" t="s">
        <v>1301</v>
      </c>
      <c r="F373" t="s">
        <v>1301</v>
      </c>
      <c r="G373" t="s">
        <v>1301</v>
      </c>
      <c r="H373" t="s">
        <v>1301</v>
      </c>
      <c r="I373" t="s">
        <v>1301</v>
      </c>
      <c r="J373" t="s">
        <v>1301</v>
      </c>
    </row>
    <row r="374" spans="1:10" x14ac:dyDescent="0.3">
      <c r="A374" t="s">
        <v>391</v>
      </c>
      <c r="B374" t="s">
        <v>392</v>
      </c>
      <c r="C374" t="s">
        <v>1301</v>
      </c>
      <c r="D374" t="s">
        <v>1301</v>
      </c>
      <c r="E374" t="s">
        <v>1301</v>
      </c>
      <c r="F374" t="s">
        <v>1301</v>
      </c>
      <c r="G374" t="s">
        <v>1301</v>
      </c>
      <c r="H374" t="s">
        <v>1301</v>
      </c>
      <c r="I374" t="s">
        <v>1301</v>
      </c>
      <c r="J374" t="s">
        <v>1301</v>
      </c>
    </row>
    <row r="375" spans="1:10" x14ac:dyDescent="0.3">
      <c r="A375" t="s">
        <v>393</v>
      </c>
      <c r="B375" t="s">
        <v>394</v>
      </c>
      <c r="C375" t="s">
        <v>1301</v>
      </c>
      <c r="D375" t="s">
        <v>1301</v>
      </c>
      <c r="E375" t="s">
        <v>1301</v>
      </c>
      <c r="F375" t="s">
        <v>1301</v>
      </c>
      <c r="G375" t="s">
        <v>1301</v>
      </c>
      <c r="H375" t="s">
        <v>1301</v>
      </c>
      <c r="I375" t="s">
        <v>1301</v>
      </c>
      <c r="J375" t="s">
        <v>1301</v>
      </c>
    </row>
    <row r="376" spans="1:10" x14ac:dyDescent="0.3">
      <c r="A376" t="s">
        <v>395</v>
      </c>
      <c r="B376" t="s">
        <v>396</v>
      </c>
      <c r="C376" t="s">
        <v>1301</v>
      </c>
      <c r="D376" t="s">
        <v>1301</v>
      </c>
      <c r="E376" t="s">
        <v>1301</v>
      </c>
      <c r="F376" t="s">
        <v>1301</v>
      </c>
      <c r="G376" t="s">
        <v>1301</v>
      </c>
      <c r="H376" t="s">
        <v>1301</v>
      </c>
      <c r="I376" t="s">
        <v>1301</v>
      </c>
      <c r="J376" t="s">
        <v>1301</v>
      </c>
    </row>
    <row r="377" spans="1:10" x14ac:dyDescent="0.3">
      <c r="A377" t="s">
        <v>397</v>
      </c>
      <c r="B377" t="s">
        <v>398</v>
      </c>
      <c r="C377" t="s">
        <v>1301</v>
      </c>
      <c r="D377" t="s">
        <v>1301</v>
      </c>
      <c r="E377" t="s">
        <v>1301</v>
      </c>
      <c r="F377" t="s">
        <v>1301</v>
      </c>
      <c r="G377" t="s">
        <v>1301</v>
      </c>
      <c r="H377" t="s">
        <v>1301</v>
      </c>
      <c r="I377" t="s">
        <v>1301</v>
      </c>
      <c r="J377" t="s">
        <v>1301</v>
      </c>
    </row>
    <row r="378" spans="1:10" x14ac:dyDescent="0.3">
      <c r="A378" t="s">
        <v>399</v>
      </c>
      <c r="B378" t="s">
        <v>400</v>
      </c>
      <c r="C378" t="s">
        <v>1301</v>
      </c>
      <c r="D378" t="s">
        <v>1301</v>
      </c>
      <c r="E378" t="s">
        <v>1301</v>
      </c>
      <c r="F378" t="s">
        <v>1301</v>
      </c>
      <c r="G378" t="s">
        <v>1301</v>
      </c>
      <c r="H378" t="s">
        <v>1301</v>
      </c>
      <c r="I378" t="s">
        <v>1301</v>
      </c>
      <c r="J378" t="s">
        <v>1301</v>
      </c>
    </row>
    <row r="379" spans="1:10" x14ac:dyDescent="0.3">
      <c r="A379" t="s">
        <v>401</v>
      </c>
      <c r="B379" t="s">
        <v>402</v>
      </c>
      <c r="C379" t="s">
        <v>1301</v>
      </c>
      <c r="D379" t="s">
        <v>1301</v>
      </c>
      <c r="E379" t="s">
        <v>1301</v>
      </c>
      <c r="F379" t="s">
        <v>1301</v>
      </c>
      <c r="G379" t="s">
        <v>1301</v>
      </c>
      <c r="H379" t="s">
        <v>1301</v>
      </c>
      <c r="I379" t="s">
        <v>1301</v>
      </c>
      <c r="J379" t="s">
        <v>1301</v>
      </c>
    </row>
    <row r="380" spans="1:10" x14ac:dyDescent="0.3">
      <c r="A380" t="s">
        <v>403</v>
      </c>
      <c r="B380" t="s">
        <v>404</v>
      </c>
      <c r="C380" t="s">
        <v>1301</v>
      </c>
      <c r="D380" t="s">
        <v>1301</v>
      </c>
      <c r="E380" t="s">
        <v>1301</v>
      </c>
      <c r="F380" t="s">
        <v>1301</v>
      </c>
      <c r="G380" t="s">
        <v>1301</v>
      </c>
      <c r="H380" t="s">
        <v>1301</v>
      </c>
      <c r="I380" t="s">
        <v>1301</v>
      </c>
      <c r="J380" t="s">
        <v>1301</v>
      </c>
    </row>
    <row r="381" spans="1:10" x14ac:dyDescent="0.3">
      <c r="A381" t="s">
        <v>405</v>
      </c>
      <c r="B381" t="s">
        <v>406</v>
      </c>
      <c r="C381" t="s">
        <v>1301</v>
      </c>
      <c r="D381" t="s">
        <v>1301</v>
      </c>
      <c r="E381" t="s">
        <v>1301</v>
      </c>
      <c r="F381" t="s">
        <v>1301</v>
      </c>
      <c r="G381" t="s">
        <v>1301</v>
      </c>
      <c r="H381" t="s">
        <v>1301</v>
      </c>
      <c r="I381" t="s">
        <v>1301</v>
      </c>
      <c r="J381" t="s">
        <v>1301</v>
      </c>
    </row>
    <row r="382" spans="1:10" x14ac:dyDescent="0.3">
      <c r="A382" t="s">
        <v>1442</v>
      </c>
      <c r="B382" t="s">
        <v>1443</v>
      </c>
      <c r="C382" t="s">
        <v>1301</v>
      </c>
      <c r="D382" t="s">
        <v>1301</v>
      </c>
      <c r="E382" t="s">
        <v>1301</v>
      </c>
      <c r="F382" t="s">
        <v>1301</v>
      </c>
      <c r="G382" t="s">
        <v>1301</v>
      </c>
      <c r="H382" t="s">
        <v>1301</v>
      </c>
      <c r="I382" t="s">
        <v>1301</v>
      </c>
      <c r="J382" t="s">
        <v>1301</v>
      </c>
    </row>
    <row r="383" spans="1:10" x14ac:dyDescent="0.3">
      <c r="A383" t="s">
        <v>1081</v>
      </c>
      <c r="B383" t="s">
        <v>1082</v>
      </c>
      <c r="C383" t="s">
        <v>1301</v>
      </c>
      <c r="D383" t="s">
        <v>1301</v>
      </c>
      <c r="E383" t="s">
        <v>1301</v>
      </c>
      <c r="F383" t="s">
        <v>1301</v>
      </c>
      <c r="G383" t="s">
        <v>1301</v>
      </c>
      <c r="H383" t="s">
        <v>1301</v>
      </c>
      <c r="I383" t="s">
        <v>1301</v>
      </c>
      <c r="J383" t="s">
        <v>1301</v>
      </c>
    </row>
    <row r="384" spans="1:10" x14ac:dyDescent="0.3">
      <c r="A384" t="s">
        <v>407</v>
      </c>
      <c r="B384" t="s">
        <v>408</v>
      </c>
      <c r="C384" t="s">
        <v>1301</v>
      </c>
      <c r="D384" t="s">
        <v>1301</v>
      </c>
      <c r="E384" t="s">
        <v>1301</v>
      </c>
      <c r="F384" t="s">
        <v>1301</v>
      </c>
      <c r="G384" t="s">
        <v>1301</v>
      </c>
      <c r="H384" t="s">
        <v>1301</v>
      </c>
      <c r="I384" t="s">
        <v>1301</v>
      </c>
      <c r="J384" t="s">
        <v>1301</v>
      </c>
    </row>
    <row r="385" spans="1:10" x14ac:dyDescent="0.3">
      <c r="A385" t="s">
        <v>1083</v>
      </c>
      <c r="B385" t="s">
        <v>1084</v>
      </c>
      <c r="C385" t="s">
        <v>1301</v>
      </c>
      <c r="D385" t="s">
        <v>1301</v>
      </c>
      <c r="E385" t="s">
        <v>1301</v>
      </c>
      <c r="F385" t="s">
        <v>1301</v>
      </c>
      <c r="G385" t="s">
        <v>1301</v>
      </c>
      <c r="H385" t="s">
        <v>1301</v>
      </c>
      <c r="I385" t="s">
        <v>1301</v>
      </c>
      <c r="J385" t="s">
        <v>1301</v>
      </c>
    </row>
    <row r="386" spans="1:10" x14ac:dyDescent="0.3">
      <c r="A386" t="s">
        <v>1444</v>
      </c>
      <c r="B386" t="s">
        <v>1445</v>
      </c>
      <c r="C386" t="s">
        <v>1307</v>
      </c>
      <c r="D386" t="s">
        <v>1444</v>
      </c>
      <c r="E386" t="s">
        <v>1301</v>
      </c>
      <c r="F386" t="s">
        <v>1301</v>
      </c>
      <c r="G386" t="s">
        <v>1301</v>
      </c>
      <c r="H386" t="s">
        <v>1301</v>
      </c>
      <c r="I386" t="s">
        <v>1301</v>
      </c>
      <c r="J386" t="s">
        <v>1301</v>
      </c>
    </row>
    <row r="387" spans="1:10" x14ac:dyDescent="0.3">
      <c r="A387" t="s">
        <v>1446</v>
      </c>
      <c r="B387" t="s">
        <v>1447</v>
      </c>
      <c r="C387" t="s">
        <v>1301</v>
      </c>
      <c r="D387" t="s">
        <v>1301</v>
      </c>
      <c r="E387" t="s">
        <v>1301</v>
      </c>
      <c r="F387" t="s">
        <v>1301</v>
      </c>
      <c r="G387" t="s">
        <v>1301</v>
      </c>
      <c r="H387" t="s">
        <v>1301</v>
      </c>
      <c r="I387" t="s">
        <v>1301</v>
      </c>
      <c r="J387" t="s">
        <v>1301</v>
      </c>
    </row>
    <row r="388" spans="1:10" x14ac:dyDescent="0.3">
      <c r="A388" t="s">
        <v>409</v>
      </c>
      <c r="B388" t="s">
        <v>410</v>
      </c>
      <c r="C388" t="s">
        <v>1301</v>
      </c>
      <c r="D388" t="s">
        <v>1301</v>
      </c>
      <c r="E388" t="s">
        <v>1301</v>
      </c>
      <c r="F388" t="s">
        <v>1301</v>
      </c>
      <c r="G388" t="s">
        <v>1301</v>
      </c>
      <c r="H388" t="s">
        <v>1301</v>
      </c>
      <c r="I388" t="s">
        <v>1301</v>
      </c>
      <c r="J388" t="s">
        <v>1301</v>
      </c>
    </row>
    <row r="389" spans="1:10" x14ac:dyDescent="0.3">
      <c r="A389" t="s">
        <v>411</v>
      </c>
      <c r="B389" t="s">
        <v>412</v>
      </c>
      <c r="C389" t="s">
        <v>1301</v>
      </c>
      <c r="D389" t="s">
        <v>1301</v>
      </c>
      <c r="E389" t="s">
        <v>1301</v>
      </c>
      <c r="F389" t="s">
        <v>1301</v>
      </c>
      <c r="G389" t="s">
        <v>1301</v>
      </c>
      <c r="H389" t="s">
        <v>1301</v>
      </c>
      <c r="I389" t="s">
        <v>1301</v>
      </c>
      <c r="J389" t="s">
        <v>1301</v>
      </c>
    </row>
    <row r="390" spans="1:10" x14ac:dyDescent="0.3">
      <c r="A390" t="s">
        <v>413</v>
      </c>
      <c r="B390" t="s">
        <v>414</v>
      </c>
      <c r="C390" t="s">
        <v>1301</v>
      </c>
      <c r="D390" t="s">
        <v>1301</v>
      </c>
      <c r="E390" t="s">
        <v>1301</v>
      </c>
      <c r="F390" t="s">
        <v>1301</v>
      </c>
      <c r="G390" t="s">
        <v>1301</v>
      </c>
      <c r="H390" t="s">
        <v>1301</v>
      </c>
      <c r="I390" t="s">
        <v>1301</v>
      </c>
      <c r="J390" t="s">
        <v>1301</v>
      </c>
    </row>
    <row r="391" spans="1:10" x14ac:dyDescent="0.3">
      <c r="A391" t="s">
        <v>597</v>
      </c>
      <c r="B391" t="s">
        <v>598</v>
      </c>
      <c r="C391" t="s">
        <v>1301</v>
      </c>
      <c r="D391" t="s">
        <v>1301</v>
      </c>
      <c r="E391" t="s">
        <v>1301</v>
      </c>
      <c r="F391" t="s">
        <v>1301</v>
      </c>
      <c r="G391" t="s">
        <v>1301</v>
      </c>
      <c r="H391" t="s">
        <v>1301</v>
      </c>
      <c r="I391" t="s">
        <v>1301</v>
      </c>
      <c r="J391" t="s">
        <v>1301</v>
      </c>
    </row>
    <row r="392" spans="1:10" x14ac:dyDescent="0.3">
      <c r="A392" t="s">
        <v>415</v>
      </c>
      <c r="B392" t="s">
        <v>416</v>
      </c>
      <c r="C392" t="s">
        <v>1301</v>
      </c>
      <c r="D392" t="s">
        <v>1301</v>
      </c>
      <c r="E392" t="s">
        <v>1301</v>
      </c>
      <c r="F392" t="s">
        <v>1301</v>
      </c>
      <c r="G392" t="s">
        <v>1301</v>
      </c>
      <c r="H392" t="s">
        <v>1301</v>
      </c>
      <c r="I392" t="s">
        <v>1301</v>
      </c>
      <c r="J392" t="s">
        <v>1301</v>
      </c>
    </row>
    <row r="393" spans="1:10" x14ac:dyDescent="0.3">
      <c r="A393" t="s">
        <v>417</v>
      </c>
      <c r="B393" t="s">
        <v>418</v>
      </c>
      <c r="C393" t="s">
        <v>1301</v>
      </c>
      <c r="D393" t="s">
        <v>1301</v>
      </c>
      <c r="E393" t="s">
        <v>1301</v>
      </c>
      <c r="F393" t="s">
        <v>1301</v>
      </c>
      <c r="G393" t="s">
        <v>1301</v>
      </c>
      <c r="H393" t="s">
        <v>1301</v>
      </c>
      <c r="I393" t="s">
        <v>1301</v>
      </c>
      <c r="J393" t="s">
        <v>1301</v>
      </c>
    </row>
    <row r="394" spans="1:10" x14ac:dyDescent="0.3">
      <c r="A394" t="s">
        <v>419</v>
      </c>
      <c r="B394" t="s">
        <v>420</v>
      </c>
      <c r="C394" t="s">
        <v>1301</v>
      </c>
      <c r="D394" t="s">
        <v>1301</v>
      </c>
      <c r="E394" t="s">
        <v>1301</v>
      </c>
      <c r="F394" t="s">
        <v>1301</v>
      </c>
      <c r="G394" t="s">
        <v>1301</v>
      </c>
      <c r="H394" t="s">
        <v>1301</v>
      </c>
      <c r="I394" t="s">
        <v>1301</v>
      </c>
      <c r="J394" t="s">
        <v>1301</v>
      </c>
    </row>
    <row r="395" spans="1:10" x14ac:dyDescent="0.3">
      <c r="A395" t="s">
        <v>1085</v>
      </c>
      <c r="B395" t="s">
        <v>1086</v>
      </c>
      <c r="C395" t="s">
        <v>1301</v>
      </c>
      <c r="D395" t="s">
        <v>1301</v>
      </c>
      <c r="E395" t="s">
        <v>1301</v>
      </c>
      <c r="F395" t="s">
        <v>1301</v>
      </c>
      <c r="G395" t="s">
        <v>1301</v>
      </c>
      <c r="H395" t="s">
        <v>1301</v>
      </c>
      <c r="I395" t="s">
        <v>1301</v>
      </c>
      <c r="J395" t="s">
        <v>1301</v>
      </c>
    </row>
    <row r="396" spans="1:10" x14ac:dyDescent="0.3">
      <c r="A396" t="s">
        <v>1448</v>
      </c>
      <c r="B396" t="s">
        <v>1449</v>
      </c>
      <c r="C396" t="s">
        <v>1301</v>
      </c>
      <c r="D396" t="s">
        <v>1301</v>
      </c>
      <c r="E396" t="s">
        <v>1301</v>
      </c>
      <c r="F396" t="s">
        <v>1301</v>
      </c>
      <c r="G396" t="s">
        <v>1301</v>
      </c>
      <c r="H396" t="s">
        <v>1301</v>
      </c>
      <c r="I396" t="s">
        <v>1301</v>
      </c>
      <c r="J396" t="s">
        <v>1301</v>
      </c>
    </row>
    <row r="397" spans="1:10" x14ac:dyDescent="0.3">
      <c r="A397" t="s">
        <v>1450</v>
      </c>
      <c r="B397" t="s">
        <v>1451</v>
      </c>
      <c r="C397" t="s">
        <v>1301</v>
      </c>
      <c r="D397" t="s">
        <v>1301</v>
      </c>
      <c r="E397" t="s">
        <v>1301</v>
      </c>
      <c r="F397" t="s">
        <v>1301</v>
      </c>
      <c r="G397" t="s">
        <v>1301</v>
      </c>
      <c r="H397" t="s">
        <v>1301</v>
      </c>
      <c r="I397" t="s">
        <v>1301</v>
      </c>
      <c r="J397" t="s">
        <v>1301</v>
      </c>
    </row>
    <row r="398" spans="1:10" x14ac:dyDescent="0.3">
      <c r="A398" t="s">
        <v>421</v>
      </c>
      <c r="B398" t="s">
        <v>422</v>
      </c>
      <c r="C398" t="s">
        <v>1301</v>
      </c>
      <c r="D398" t="s">
        <v>1301</v>
      </c>
      <c r="E398" t="s">
        <v>1301</v>
      </c>
      <c r="F398" t="s">
        <v>1301</v>
      </c>
      <c r="G398" t="s">
        <v>1301</v>
      </c>
      <c r="H398" t="s">
        <v>1301</v>
      </c>
      <c r="I398" t="s">
        <v>1301</v>
      </c>
      <c r="J398" t="s">
        <v>1301</v>
      </c>
    </row>
    <row r="399" spans="1:10" x14ac:dyDescent="0.3">
      <c r="A399" t="s">
        <v>599</v>
      </c>
      <c r="B399" t="s">
        <v>600</v>
      </c>
      <c r="C399" t="s">
        <v>1301</v>
      </c>
      <c r="D399" t="s">
        <v>1301</v>
      </c>
      <c r="E399" t="s">
        <v>1301</v>
      </c>
      <c r="F399" t="s">
        <v>1301</v>
      </c>
      <c r="G399" t="s">
        <v>1301</v>
      </c>
      <c r="H399" t="s">
        <v>1301</v>
      </c>
      <c r="I399" t="s">
        <v>1301</v>
      </c>
      <c r="J399" t="s">
        <v>1301</v>
      </c>
    </row>
    <row r="400" spans="1:10" x14ac:dyDescent="0.3">
      <c r="A400" t="s">
        <v>1452</v>
      </c>
      <c r="B400" t="s">
        <v>1453</v>
      </c>
      <c r="C400" t="s">
        <v>1301</v>
      </c>
      <c r="D400" t="s">
        <v>1301</v>
      </c>
      <c r="E400" t="s">
        <v>1301</v>
      </c>
      <c r="F400" t="s">
        <v>1301</v>
      </c>
      <c r="G400" t="s">
        <v>1301</v>
      </c>
      <c r="H400" t="s">
        <v>1301</v>
      </c>
      <c r="I400" t="s">
        <v>1301</v>
      </c>
      <c r="J400" t="s">
        <v>1301</v>
      </c>
    </row>
    <row r="401" spans="1:10" x14ac:dyDescent="0.3">
      <c r="A401" t="s">
        <v>1087</v>
      </c>
      <c r="B401" t="s">
        <v>1088</v>
      </c>
      <c r="C401" t="s">
        <v>1301</v>
      </c>
      <c r="D401" t="s">
        <v>1301</v>
      </c>
      <c r="E401" t="s">
        <v>1301</v>
      </c>
      <c r="F401" t="s">
        <v>1301</v>
      </c>
      <c r="G401" t="s">
        <v>1301</v>
      </c>
      <c r="H401" t="s">
        <v>1301</v>
      </c>
      <c r="I401" t="s">
        <v>1301</v>
      </c>
      <c r="J401" t="s">
        <v>1301</v>
      </c>
    </row>
    <row r="402" spans="1:10" x14ac:dyDescent="0.3">
      <c r="A402" t="s">
        <v>1089</v>
      </c>
      <c r="B402" t="s">
        <v>1090</v>
      </c>
      <c r="C402" t="s">
        <v>1301</v>
      </c>
      <c r="D402" t="s">
        <v>1301</v>
      </c>
      <c r="E402" t="s">
        <v>1301</v>
      </c>
      <c r="F402" t="s">
        <v>1301</v>
      </c>
      <c r="G402" t="s">
        <v>1301</v>
      </c>
      <c r="H402" t="s">
        <v>1301</v>
      </c>
      <c r="I402" t="s">
        <v>1301</v>
      </c>
      <c r="J402" t="s">
        <v>1301</v>
      </c>
    </row>
    <row r="403" spans="1:10" x14ac:dyDescent="0.3">
      <c r="A403" t="s">
        <v>423</v>
      </c>
      <c r="B403" t="s">
        <v>424</v>
      </c>
      <c r="C403" t="s">
        <v>1301</v>
      </c>
      <c r="D403" t="s">
        <v>1301</v>
      </c>
      <c r="E403" t="s">
        <v>1301</v>
      </c>
      <c r="F403" t="s">
        <v>1301</v>
      </c>
      <c r="G403" t="s">
        <v>1301</v>
      </c>
      <c r="H403" t="s">
        <v>1301</v>
      </c>
      <c r="I403" t="s">
        <v>1301</v>
      </c>
      <c r="J403" t="s">
        <v>1301</v>
      </c>
    </row>
    <row r="404" spans="1:10" x14ac:dyDescent="0.3">
      <c r="A404" t="s">
        <v>1454</v>
      </c>
      <c r="B404" t="s">
        <v>430</v>
      </c>
      <c r="C404" t="s">
        <v>1301</v>
      </c>
      <c r="D404" t="s">
        <v>1301</v>
      </c>
      <c r="E404" t="s">
        <v>1301</v>
      </c>
      <c r="F404" t="s">
        <v>1301</v>
      </c>
      <c r="G404" t="s">
        <v>1301</v>
      </c>
      <c r="H404" t="s">
        <v>1301</v>
      </c>
      <c r="I404" t="s">
        <v>1301</v>
      </c>
      <c r="J404" t="s">
        <v>1301</v>
      </c>
    </row>
    <row r="405" spans="1:10" x14ac:dyDescent="0.3">
      <c r="A405" t="s">
        <v>1455</v>
      </c>
      <c r="B405" t="s">
        <v>1456</v>
      </c>
      <c r="C405" t="s">
        <v>1301</v>
      </c>
      <c r="D405" t="s">
        <v>1301</v>
      </c>
      <c r="E405" t="s">
        <v>1301</v>
      </c>
      <c r="F405" t="s">
        <v>1301</v>
      </c>
      <c r="G405" t="s">
        <v>1301</v>
      </c>
      <c r="H405" t="s">
        <v>1301</v>
      </c>
      <c r="I405" t="s">
        <v>1301</v>
      </c>
      <c r="J405" t="s">
        <v>1301</v>
      </c>
    </row>
    <row r="406" spans="1:10" x14ac:dyDescent="0.3">
      <c r="A406" t="s">
        <v>1091</v>
      </c>
      <c r="B406" t="s">
        <v>1092</v>
      </c>
      <c r="C406" t="s">
        <v>1301</v>
      </c>
      <c r="D406" t="s">
        <v>1301</v>
      </c>
      <c r="E406" t="s">
        <v>1301</v>
      </c>
      <c r="F406" t="s">
        <v>1301</v>
      </c>
      <c r="G406" t="s">
        <v>1301</v>
      </c>
      <c r="H406" t="s">
        <v>1301</v>
      </c>
      <c r="I406" t="s">
        <v>1301</v>
      </c>
      <c r="J406" t="s">
        <v>1301</v>
      </c>
    </row>
    <row r="407" spans="1:10" x14ac:dyDescent="0.3">
      <c r="A407" t="s">
        <v>514</v>
      </c>
      <c r="B407" t="s">
        <v>515</v>
      </c>
      <c r="C407" t="s">
        <v>1301</v>
      </c>
      <c r="D407" t="s">
        <v>1301</v>
      </c>
      <c r="E407" t="s">
        <v>1301</v>
      </c>
      <c r="F407" t="s">
        <v>1301</v>
      </c>
      <c r="G407" t="s">
        <v>1301</v>
      </c>
      <c r="H407" t="s">
        <v>1301</v>
      </c>
      <c r="I407" t="s">
        <v>1301</v>
      </c>
      <c r="J407" t="s">
        <v>1301</v>
      </c>
    </row>
    <row r="408" spans="1:10" x14ac:dyDescent="0.3">
      <c r="A408" t="s">
        <v>425</v>
      </c>
      <c r="B408" t="s">
        <v>426</v>
      </c>
      <c r="C408" t="s">
        <v>1301</v>
      </c>
      <c r="D408" t="s">
        <v>1301</v>
      </c>
      <c r="E408" t="s">
        <v>1301</v>
      </c>
      <c r="F408" t="s">
        <v>1301</v>
      </c>
      <c r="G408" t="s">
        <v>1301</v>
      </c>
      <c r="H408" t="s">
        <v>1301</v>
      </c>
      <c r="I408" t="s">
        <v>1301</v>
      </c>
      <c r="J408" t="s">
        <v>1301</v>
      </c>
    </row>
    <row r="409" spans="1:10" x14ac:dyDescent="0.3">
      <c r="A409" t="s">
        <v>427</v>
      </c>
      <c r="B409" t="s">
        <v>428</v>
      </c>
      <c r="C409" t="s">
        <v>1301</v>
      </c>
      <c r="D409" t="s">
        <v>1301</v>
      </c>
      <c r="E409" t="s">
        <v>1301</v>
      </c>
      <c r="F409" t="s">
        <v>1301</v>
      </c>
      <c r="G409" t="s">
        <v>1301</v>
      </c>
      <c r="H409" t="s">
        <v>1301</v>
      </c>
      <c r="I409" t="s">
        <v>1301</v>
      </c>
      <c r="J409" t="s">
        <v>1301</v>
      </c>
    </row>
    <row r="410" spans="1:10" x14ac:dyDescent="0.3">
      <c r="A410" t="s">
        <v>429</v>
      </c>
      <c r="B410" t="s">
        <v>1457</v>
      </c>
      <c r="C410" t="s">
        <v>1301</v>
      </c>
      <c r="D410" t="s">
        <v>1301</v>
      </c>
      <c r="E410" t="s">
        <v>1301</v>
      </c>
      <c r="F410" t="s">
        <v>1301</v>
      </c>
      <c r="G410" t="s">
        <v>1301</v>
      </c>
      <c r="H410" t="s">
        <v>1301</v>
      </c>
      <c r="I410" t="s">
        <v>1301</v>
      </c>
      <c r="J410" t="s">
        <v>1301</v>
      </c>
    </row>
    <row r="411" spans="1:10" x14ac:dyDescent="0.3">
      <c r="A411" t="s">
        <v>1458</v>
      </c>
      <c r="B411" t="s">
        <v>1459</v>
      </c>
      <c r="C411" t="s">
        <v>1301</v>
      </c>
      <c r="D411" t="s">
        <v>1301</v>
      </c>
      <c r="E411" t="s">
        <v>1301</v>
      </c>
      <c r="F411" t="s">
        <v>1301</v>
      </c>
      <c r="G411" t="s">
        <v>1301</v>
      </c>
      <c r="H411" t="s">
        <v>1301</v>
      </c>
      <c r="I411" t="s">
        <v>1301</v>
      </c>
      <c r="J411" t="s">
        <v>1301</v>
      </c>
    </row>
    <row r="412" spans="1:10" x14ac:dyDescent="0.3">
      <c r="A412" t="s">
        <v>431</v>
      </c>
      <c r="B412" t="s">
        <v>432</v>
      </c>
      <c r="C412" t="s">
        <v>1301</v>
      </c>
      <c r="D412" t="s">
        <v>1301</v>
      </c>
      <c r="E412" t="s">
        <v>1301</v>
      </c>
      <c r="F412" t="s">
        <v>1301</v>
      </c>
      <c r="G412" t="s">
        <v>1301</v>
      </c>
      <c r="H412" t="s">
        <v>1301</v>
      </c>
      <c r="I412" t="s">
        <v>1301</v>
      </c>
      <c r="J412" t="s">
        <v>1301</v>
      </c>
    </row>
    <row r="413" spans="1:10" x14ac:dyDescent="0.3">
      <c r="A413" t="s">
        <v>433</v>
      </c>
      <c r="B413" t="s">
        <v>434</v>
      </c>
      <c r="C413" t="s">
        <v>1301</v>
      </c>
      <c r="D413" t="s">
        <v>1301</v>
      </c>
      <c r="E413" t="s">
        <v>1301</v>
      </c>
      <c r="F413" t="s">
        <v>1301</v>
      </c>
      <c r="G413" t="s">
        <v>1301</v>
      </c>
      <c r="H413" t="s">
        <v>1301</v>
      </c>
      <c r="I413" t="s">
        <v>1301</v>
      </c>
      <c r="J413" t="s">
        <v>1301</v>
      </c>
    </row>
    <row r="414" spans="1:10" x14ac:dyDescent="0.3">
      <c r="A414" t="s">
        <v>1093</v>
      </c>
      <c r="B414" t="s">
        <v>1094</v>
      </c>
      <c r="C414" t="s">
        <v>1307</v>
      </c>
      <c r="D414" t="s">
        <v>1460</v>
      </c>
      <c r="E414" t="s">
        <v>1301</v>
      </c>
      <c r="F414" t="s">
        <v>1301</v>
      </c>
      <c r="G414" t="s">
        <v>1301</v>
      </c>
      <c r="H414" t="s">
        <v>1301</v>
      </c>
      <c r="I414" t="s">
        <v>1301</v>
      </c>
      <c r="J414" t="s">
        <v>1301</v>
      </c>
    </row>
    <row r="415" spans="1:10" x14ac:dyDescent="0.3">
      <c r="A415" t="s">
        <v>435</v>
      </c>
      <c r="B415" t="s">
        <v>436</v>
      </c>
      <c r="C415" t="s">
        <v>1301</v>
      </c>
      <c r="D415" t="s">
        <v>1301</v>
      </c>
      <c r="E415" t="s">
        <v>1301</v>
      </c>
      <c r="F415" t="s">
        <v>1301</v>
      </c>
      <c r="G415" t="s">
        <v>1301</v>
      </c>
      <c r="H415" t="s">
        <v>1301</v>
      </c>
      <c r="I415" t="s">
        <v>1301</v>
      </c>
      <c r="J415" t="s">
        <v>1301</v>
      </c>
    </row>
    <row r="416" spans="1:10" x14ac:dyDescent="0.3">
      <c r="A416" t="s">
        <v>1095</v>
      </c>
      <c r="B416" t="s">
        <v>1461</v>
      </c>
      <c r="C416" t="s">
        <v>1301</v>
      </c>
      <c r="D416" t="s">
        <v>1301</v>
      </c>
      <c r="E416" t="s">
        <v>1301</v>
      </c>
      <c r="F416" t="s">
        <v>1301</v>
      </c>
      <c r="G416" t="s">
        <v>1301</v>
      </c>
      <c r="H416" t="s">
        <v>1301</v>
      </c>
      <c r="I416" t="s">
        <v>1301</v>
      </c>
      <c r="J416" t="s">
        <v>1301</v>
      </c>
    </row>
    <row r="417" spans="1:10" x14ac:dyDescent="0.3">
      <c r="A417" t="s">
        <v>437</v>
      </c>
      <c r="B417" t="s">
        <v>1097</v>
      </c>
      <c r="C417" t="s">
        <v>1301</v>
      </c>
      <c r="D417" t="s">
        <v>1301</v>
      </c>
      <c r="E417" t="s">
        <v>1301</v>
      </c>
      <c r="F417" t="s">
        <v>1301</v>
      </c>
      <c r="G417" t="s">
        <v>1301</v>
      </c>
      <c r="H417" t="s">
        <v>1301</v>
      </c>
      <c r="I417" t="s">
        <v>1301</v>
      </c>
      <c r="J417" t="s">
        <v>1301</v>
      </c>
    </row>
    <row r="418" spans="1:10" x14ac:dyDescent="0.3">
      <c r="A418" t="s">
        <v>439</v>
      </c>
      <c r="B418" t="s">
        <v>1098</v>
      </c>
      <c r="C418" t="s">
        <v>1301</v>
      </c>
      <c r="D418" t="s">
        <v>1301</v>
      </c>
      <c r="E418" t="s">
        <v>1301</v>
      </c>
      <c r="F418" t="s">
        <v>1301</v>
      </c>
      <c r="G418" t="s">
        <v>1301</v>
      </c>
      <c r="H418" t="s">
        <v>1301</v>
      </c>
      <c r="I418" t="s">
        <v>1301</v>
      </c>
      <c r="J418" t="s">
        <v>1301</v>
      </c>
    </row>
    <row r="419" spans="1:10" x14ac:dyDescent="0.3">
      <c r="A419" t="s">
        <v>1462</v>
      </c>
      <c r="B419" t="s">
        <v>1463</v>
      </c>
      <c r="C419" t="s">
        <v>1307</v>
      </c>
      <c r="D419" t="s">
        <v>1464</v>
      </c>
      <c r="E419" t="s">
        <v>1301</v>
      </c>
      <c r="F419" t="s">
        <v>1301</v>
      </c>
      <c r="G419" t="s">
        <v>1301</v>
      </c>
      <c r="H419" t="s">
        <v>1301</v>
      </c>
      <c r="I419" t="s">
        <v>1301</v>
      </c>
      <c r="J419" t="s">
        <v>1301</v>
      </c>
    </row>
    <row r="420" spans="1:10" x14ac:dyDescent="0.3">
      <c r="A420" t="s">
        <v>1099</v>
      </c>
      <c r="B420" t="s">
        <v>1100</v>
      </c>
      <c r="C420" t="s">
        <v>1301</v>
      </c>
      <c r="D420" t="s">
        <v>1301</v>
      </c>
      <c r="E420" t="s">
        <v>1301</v>
      </c>
      <c r="F420" t="s">
        <v>1301</v>
      </c>
      <c r="G420" t="s">
        <v>1301</v>
      </c>
      <c r="H420" t="s">
        <v>1301</v>
      </c>
      <c r="I420" t="s">
        <v>1301</v>
      </c>
      <c r="J420" t="s">
        <v>1301</v>
      </c>
    </row>
    <row r="421" spans="1:10" x14ac:dyDescent="0.3">
      <c r="A421" t="s">
        <v>441</v>
      </c>
      <c r="B421" t="s">
        <v>601</v>
      </c>
      <c r="C421" t="s">
        <v>1301</v>
      </c>
      <c r="D421" t="s">
        <v>1301</v>
      </c>
      <c r="E421" t="s">
        <v>1301</v>
      </c>
      <c r="F421" t="s">
        <v>1301</v>
      </c>
      <c r="G421" t="s">
        <v>1301</v>
      </c>
      <c r="H421" t="s">
        <v>1301</v>
      </c>
      <c r="I421" t="s">
        <v>1301</v>
      </c>
      <c r="J421" t="s">
        <v>1301</v>
      </c>
    </row>
    <row r="422" spans="1:10" x14ac:dyDescent="0.3">
      <c r="A422" t="s">
        <v>602</v>
      </c>
      <c r="B422" t="s">
        <v>603</v>
      </c>
      <c r="C422" t="s">
        <v>1301</v>
      </c>
      <c r="D422" t="s">
        <v>1301</v>
      </c>
      <c r="E422" t="s">
        <v>1301</v>
      </c>
      <c r="F422" t="s">
        <v>1301</v>
      </c>
      <c r="G422" t="s">
        <v>1301</v>
      </c>
      <c r="H422" t="s">
        <v>1301</v>
      </c>
      <c r="I422" t="s">
        <v>1301</v>
      </c>
      <c r="J422" t="s">
        <v>1301</v>
      </c>
    </row>
    <row r="423" spans="1:10" x14ac:dyDescent="0.3">
      <c r="A423" t="s">
        <v>604</v>
      </c>
      <c r="B423" t="s">
        <v>605</v>
      </c>
      <c r="C423" t="s">
        <v>1301</v>
      </c>
      <c r="D423" t="s">
        <v>1301</v>
      </c>
      <c r="E423" t="s">
        <v>1301</v>
      </c>
      <c r="F423" t="s">
        <v>1301</v>
      </c>
      <c r="G423" t="s">
        <v>1301</v>
      </c>
      <c r="H423" t="s">
        <v>1301</v>
      </c>
      <c r="I423" t="s">
        <v>1301</v>
      </c>
      <c r="J423" t="s">
        <v>1301</v>
      </c>
    </row>
    <row r="424" spans="1:10" x14ac:dyDescent="0.3">
      <c r="A424" t="s">
        <v>1465</v>
      </c>
      <c r="B424" t="s">
        <v>1466</v>
      </c>
      <c r="C424" t="s">
        <v>1301</v>
      </c>
      <c r="D424" t="s">
        <v>1301</v>
      </c>
      <c r="E424" t="s">
        <v>1301</v>
      </c>
      <c r="F424" t="s">
        <v>1301</v>
      </c>
      <c r="G424" t="s">
        <v>1301</v>
      </c>
      <c r="H424" t="s">
        <v>1301</v>
      </c>
      <c r="I424" t="s">
        <v>1301</v>
      </c>
      <c r="J424" t="s">
        <v>1301</v>
      </c>
    </row>
    <row r="425" spans="1:10" x14ac:dyDescent="0.3">
      <c r="A425" t="s">
        <v>442</v>
      </c>
      <c r="B425" t="s">
        <v>443</v>
      </c>
      <c r="C425" t="s">
        <v>1301</v>
      </c>
      <c r="D425" t="s">
        <v>1301</v>
      </c>
      <c r="E425" t="s">
        <v>1301</v>
      </c>
      <c r="F425" t="s">
        <v>1301</v>
      </c>
      <c r="G425" t="s">
        <v>1301</v>
      </c>
      <c r="H425" t="s">
        <v>1301</v>
      </c>
      <c r="I425" t="s">
        <v>1301</v>
      </c>
      <c r="J425" t="s">
        <v>1301</v>
      </c>
    </row>
    <row r="426" spans="1:10" x14ac:dyDescent="0.3">
      <c r="A426" t="s">
        <v>606</v>
      </c>
      <c r="B426" t="s">
        <v>607</v>
      </c>
      <c r="C426" t="s">
        <v>1301</v>
      </c>
      <c r="D426" t="s">
        <v>1301</v>
      </c>
      <c r="E426" t="s">
        <v>1301</v>
      </c>
      <c r="F426" t="s">
        <v>1301</v>
      </c>
      <c r="G426" t="s">
        <v>1301</v>
      </c>
      <c r="H426" t="s">
        <v>1301</v>
      </c>
      <c r="I426" t="s">
        <v>1301</v>
      </c>
      <c r="J426" t="s">
        <v>1301</v>
      </c>
    </row>
    <row r="427" spans="1:10" x14ac:dyDescent="0.3">
      <c r="A427" t="s">
        <v>512</v>
      </c>
      <c r="B427" t="s">
        <v>1467</v>
      </c>
      <c r="C427" t="s">
        <v>1301</v>
      </c>
      <c r="D427" t="s">
        <v>1301</v>
      </c>
      <c r="E427" t="s">
        <v>1301</v>
      </c>
      <c r="F427" t="s">
        <v>1301</v>
      </c>
      <c r="G427" t="s">
        <v>1301</v>
      </c>
      <c r="H427" t="s">
        <v>1301</v>
      </c>
      <c r="I427" t="s">
        <v>1301</v>
      </c>
      <c r="J427" t="s">
        <v>1301</v>
      </c>
    </row>
    <row r="428" spans="1:10" x14ac:dyDescent="0.3">
      <c r="A428" t="s">
        <v>1101</v>
      </c>
      <c r="B428" t="s">
        <v>1468</v>
      </c>
      <c r="C428" t="s">
        <v>1301</v>
      </c>
      <c r="D428" t="s">
        <v>1301</v>
      </c>
      <c r="E428" t="s">
        <v>1301</v>
      </c>
      <c r="F428" t="s">
        <v>1301</v>
      </c>
      <c r="G428" t="s">
        <v>1301</v>
      </c>
      <c r="H428" t="s">
        <v>1301</v>
      </c>
      <c r="I428" t="s">
        <v>1301</v>
      </c>
      <c r="J428" t="s">
        <v>1301</v>
      </c>
    </row>
    <row r="429" spans="1:10" x14ac:dyDescent="0.3">
      <c r="A429" t="s">
        <v>1101</v>
      </c>
      <c r="B429" t="s">
        <v>1102</v>
      </c>
      <c r="C429" t="s">
        <v>1301</v>
      </c>
      <c r="D429" t="s">
        <v>1301</v>
      </c>
      <c r="E429" t="s">
        <v>1301</v>
      </c>
      <c r="F429" t="s">
        <v>1301</v>
      </c>
      <c r="G429" t="s">
        <v>1301</v>
      </c>
      <c r="H429" t="s">
        <v>1301</v>
      </c>
      <c r="I429" t="s">
        <v>1301</v>
      </c>
      <c r="J429" t="s">
        <v>1301</v>
      </c>
    </row>
    <row r="430" spans="1:10" x14ac:dyDescent="0.3">
      <c r="A430" t="s">
        <v>1469</v>
      </c>
      <c r="B430" t="s">
        <v>1470</v>
      </c>
      <c r="C430" t="s">
        <v>1301</v>
      </c>
      <c r="D430" t="s">
        <v>1301</v>
      </c>
      <c r="E430" t="s">
        <v>1301</v>
      </c>
      <c r="F430" t="s">
        <v>1301</v>
      </c>
      <c r="G430" t="s">
        <v>1301</v>
      </c>
      <c r="H430" t="s">
        <v>1301</v>
      </c>
      <c r="I430" t="s">
        <v>1301</v>
      </c>
      <c r="J430" t="s">
        <v>1301</v>
      </c>
    </row>
    <row r="431" spans="1:10" x14ac:dyDescent="0.3">
      <c r="A431" t="s">
        <v>1471</v>
      </c>
      <c r="B431" t="s">
        <v>1472</v>
      </c>
      <c r="C431" t="s">
        <v>1301</v>
      </c>
      <c r="D431" t="s">
        <v>1301</v>
      </c>
      <c r="E431" t="s">
        <v>1301</v>
      </c>
      <c r="F431" t="s">
        <v>1301</v>
      </c>
      <c r="G431" t="s">
        <v>1301</v>
      </c>
      <c r="H431" t="s">
        <v>1301</v>
      </c>
      <c r="I431" t="s">
        <v>1301</v>
      </c>
      <c r="J431" t="s">
        <v>1301</v>
      </c>
    </row>
    <row r="432" spans="1:10" x14ac:dyDescent="0.3">
      <c r="A432" t="s">
        <v>444</v>
      </c>
      <c r="B432" t="s">
        <v>445</v>
      </c>
      <c r="C432" t="s">
        <v>1301</v>
      </c>
      <c r="D432" t="s">
        <v>1301</v>
      </c>
      <c r="E432" t="s">
        <v>1301</v>
      </c>
      <c r="F432" t="s">
        <v>1301</v>
      </c>
      <c r="G432" t="s">
        <v>1301</v>
      </c>
      <c r="H432" t="s">
        <v>1301</v>
      </c>
      <c r="I432" t="s">
        <v>1301</v>
      </c>
      <c r="J432" t="s">
        <v>1301</v>
      </c>
    </row>
    <row r="433" spans="1:10" x14ac:dyDescent="0.3">
      <c r="A433" t="s">
        <v>446</v>
      </c>
      <c r="B433" t="s">
        <v>447</v>
      </c>
      <c r="C433" t="s">
        <v>1301</v>
      </c>
      <c r="D433" t="s">
        <v>1301</v>
      </c>
      <c r="E433" t="s">
        <v>1301</v>
      </c>
      <c r="F433" t="s">
        <v>1301</v>
      </c>
      <c r="G433" t="s">
        <v>1301</v>
      </c>
      <c r="H433" t="s">
        <v>1301</v>
      </c>
      <c r="I433" t="s">
        <v>1301</v>
      </c>
      <c r="J433" t="s">
        <v>1301</v>
      </c>
    </row>
    <row r="434" spans="1:10" x14ac:dyDescent="0.3">
      <c r="A434" t="s">
        <v>1473</v>
      </c>
      <c r="B434" t="s">
        <v>1474</v>
      </c>
      <c r="C434" t="s">
        <v>1301</v>
      </c>
      <c r="D434" t="s">
        <v>1301</v>
      </c>
      <c r="E434" t="s">
        <v>1301</v>
      </c>
      <c r="F434" t="s">
        <v>1301</v>
      </c>
      <c r="G434" t="s">
        <v>1301</v>
      </c>
      <c r="H434" t="s">
        <v>1301</v>
      </c>
      <c r="I434" t="s">
        <v>1301</v>
      </c>
      <c r="J434" t="s">
        <v>1301</v>
      </c>
    </row>
    <row r="435" spans="1:10" x14ac:dyDescent="0.3">
      <c r="A435" t="s">
        <v>1475</v>
      </c>
      <c r="B435" t="s">
        <v>1476</v>
      </c>
      <c r="C435" t="s">
        <v>1301</v>
      </c>
      <c r="D435" t="s">
        <v>1301</v>
      </c>
      <c r="E435" t="s">
        <v>1301</v>
      </c>
      <c r="F435" t="s">
        <v>1301</v>
      </c>
      <c r="G435" t="s">
        <v>1301</v>
      </c>
      <c r="H435" t="s">
        <v>1301</v>
      </c>
      <c r="I435" t="s">
        <v>1301</v>
      </c>
      <c r="J435" t="s">
        <v>1301</v>
      </c>
    </row>
    <row r="436" spans="1:10" x14ac:dyDescent="0.3">
      <c r="A436" t="s">
        <v>448</v>
      </c>
      <c r="B436" t="s">
        <v>449</v>
      </c>
      <c r="C436" t="s">
        <v>1301</v>
      </c>
      <c r="D436" t="s">
        <v>1301</v>
      </c>
      <c r="E436" t="s">
        <v>1301</v>
      </c>
      <c r="F436" t="s">
        <v>1301</v>
      </c>
      <c r="G436" t="s">
        <v>1301</v>
      </c>
      <c r="H436" t="s">
        <v>1301</v>
      </c>
      <c r="I436" t="s">
        <v>1301</v>
      </c>
      <c r="J436" t="s">
        <v>1301</v>
      </c>
    </row>
    <row r="437" spans="1:10" x14ac:dyDescent="0.3">
      <c r="A437" t="s">
        <v>608</v>
      </c>
      <c r="B437" t="s">
        <v>609</v>
      </c>
      <c r="C437" t="s">
        <v>1301</v>
      </c>
      <c r="D437" t="s">
        <v>1301</v>
      </c>
      <c r="E437" t="s">
        <v>1301</v>
      </c>
      <c r="F437" t="s">
        <v>1301</v>
      </c>
      <c r="G437" t="s">
        <v>1301</v>
      </c>
      <c r="H437" t="s">
        <v>1301</v>
      </c>
      <c r="I437" t="s">
        <v>1301</v>
      </c>
      <c r="J437" t="s">
        <v>1301</v>
      </c>
    </row>
    <row r="438" spans="1:10" x14ac:dyDescent="0.3">
      <c r="A438" t="s">
        <v>1103</v>
      </c>
      <c r="B438" t="s">
        <v>1104</v>
      </c>
      <c r="C438" t="s">
        <v>1301</v>
      </c>
      <c r="D438" t="s">
        <v>1301</v>
      </c>
      <c r="E438" t="s">
        <v>1301</v>
      </c>
      <c r="F438" t="s">
        <v>1301</v>
      </c>
      <c r="G438" t="s">
        <v>1301</v>
      </c>
      <c r="H438" t="s">
        <v>1301</v>
      </c>
      <c r="I438" t="s">
        <v>1301</v>
      </c>
      <c r="J438" t="s">
        <v>1301</v>
      </c>
    </row>
    <row r="439" spans="1:10" x14ac:dyDescent="0.3">
      <c r="A439" t="s">
        <v>450</v>
      </c>
      <c r="B439" t="s">
        <v>451</v>
      </c>
      <c r="C439" t="s">
        <v>1301</v>
      </c>
      <c r="D439" t="s">
        <v>1301</v>
      </c>
      <c r="E439" t="s">
        <v>1301</v>
      </c>
      <c r="F439" t="s">
        <v>1301</v>
      </c>
      <c r="G439" t="s">
        <v>1301</v>
      </c>
      <c r="H439" t="s">
        <v>1301</v>
      </c>
      <c r="I439" t="s">
        <v>1301</v>
      </c>
      <c r="J439" t="s">
        <v>1301</v>
      </c>
    </row>
    <row r="440" spans="1:10" x14ac:dyDescent="0.3">
      <c r="A440" t="s">
        <v>1107</v>
      </c>
      <c r="B440" t="s">
        <v>1108</v>
      </c>
      <c r="C440" t="s">
        <v>1301</v>
      </c>
      <c r="D440" t="s">
        <v>1301</v>
      </c>
      <c r="E440" t="s">
        <v>1301</v>
      </c>
      <c r="F440" t="s">
        <v>1301</v>
      </c>
      <c r="G440" t="s">
        <v>1301</v>
      </c>
      <c r="H440" t="s">
        <v>1301</v>
      </c>
      <c r="I440" t="s">
        <v>1301</v>
      </c>
      <c r="J440" t="s">
        <v>1301</v>
      </c>
    </row>
    <row r="441" spans="1:10" x14ac:dyDescent="0.3">
      <c r="A441" t="s">
        <v>1109</v>
      </c>
      <c r="B441" t="s">
        <v>1110</v>
      </c>
      <c r="C441" t="s">
        <v>1301</v>
      </c>
      <c r="D441" t="s">
        <v>1301</v>
      </c>
      <c r="E441" t="s">
        <v>1301</v>
      </c>
      <c r="F441" t="s">
        <v>1301</v>
      </c>
      <c r="G441" t="s">
        <v>1301</v>
      </c>
      <c r="H441" t="s">
        <v>1301</v>
      </c>
      <c r="I441" t="s">
        <v>1301</v>
      </c>
      <c r="J441" t="s">
        <v>1301</v>
      </c>
    </row>
    <row r="442" spans="1:10" x14ac:dyDescent="0.3">
      <c r="A442" t="s">
        <v>1111</v>
      </c>
      <c r="B442" t="s">
        <v>1112</v>
      </c>
      <c r="C442" t="s">
        <v>1301</v>
      </c>
      <c r="D442" t="s">
        <v>1301</v>
      </c>
      <c r="E442" t="s">
        <v>1301</v>
      </c>
      <c r="F442" t="s">
        <v>1301</v>
      </c>
      <c r="G442" t="s">
        <v>1301</v>
      </c>
      <c r="H442" t="s">
        <v>1301</v>
      </c>
      <c r="I442" t="s">
        <v>1301</v>
      </c>
      <c r="J442" t="s">
        <v>1301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K988"/>
  <sheetViews>
    <sheetView tabSelected="1" topLeftCell="A453" zoomScaleNormal="100" zoomScaleSheetLayoutView="100" workbookViewId="0">
      <selection activeCell="F470" sqref="F470:I472"/>
    </sheetView>
    <sheetView tabSelected="1" workbookViewId="1">
      <pane xSplit="5" ySplit="1" topLeftCell="F2" activePane="bottomRight" state="frozen"/>
      <selection pane="topRight" activeCell="F1" sqref="F1"/>
      <selection pane="bottomLeft" activeCell="A2" sqref="A2"/>
      <selection pane="bottomRight" activeCell="C1" sqref="C1:C1048576"/>
    </sheetView>
  </sheetViews>
  <sheetFormatPr baseColWidth="10" defaultRowHeight="14.4" x14ac:dyDescent="0.3"/>
  <cols>
    <col min="1" max="1" width="19" customWidth="1"/>
    <col min="2" max="2" width="20.88671875" customWidth="1"/>
    <col min="3" max="3" width="10.6640625" style="11" customWidth="1"/>
    <col min="4" max="4" width="21.33203125" customWidth="1"/>
    <col min="5" max="5" width="22.88671875" customWidth="1"/>
    <col min="6" max="6" width="27.5546875" customWidth="1"/>
    <col min="7" max="7" width="18.44140625" customWidth="1"/>
    <col min="8" max="8" width="25.44140625" customWidth="1"/>
    <col min="9" max="9" width="22.6640625" customWidth="1"/>
  </cols>
  <sheetData>
    <row r="1" spans="1:11" ht="34.950000000000003" customHeight="1" x14ac:dyDescent="0.3">
      <c r="A1" s="45" t="s">
        <v>1250</v>
      </c>
      <c r="B1" s="46"/>
      <c r="C1" s="25"/>
      <c r="F1" s="47" t="s">
        <v>1252</v>
      </c>
      <c r="G1" s="48"/>
      <c r="H1" s="48"/>
      <c r="I1" s="49"/>
      <c r="K1" s="23" t="s">
        <v>1249</v>
      </c>
    </row>
    <row r="2" spans="1:11" ht="13.95" customHeight="1" x14ac:dyDescent="0.3">
      <c r="A2" s="2" t="s">
        <v>1251</v>
      </c>
      <c r="B2" s="3">
        <f>COUNTIFS(A4:A988,"&lt;&gt;")</f>
        <v>441</v>
      </c>
      <c r="F2" s="2" t="s">
        <v>610</v>
      </c>
      <c r="G2" s="26">
        <f>COUNTIFS(F4:F984,"&lt;&gt;")</f>
        <v>466</v>
      </c>
      <c r="H2" s="28" t="s">
        <v>1248</v>
      </c>
      <c r="I2" s="21" t="s">
        <v>1266</v>
      </c>
      <c r="J2" s="10">
        <f>COUNTIFS(H4:H979,"&lt;&gt;")</f>
        <v>176</v>
      </c>
      <c r="K2" s="24">
        <f>(J2*100)/G2</f>
        <v>37.768240343347642</v>
      </c>
    </row>
    <row r="3" spans="1:11" x14ac:dyDescent="0.3">
      <c r="A3" s="13" t="s">
        <v>543</v>
      </c>
      <c r="B3" s="14" t="s">
        <v>544</v>
      </c>
      <c r="F3" s="8" t="s">
        <v>1271</v>
      </c>
      <c r="G3" s="9" t="s">
        <v>1272</v>
      </c>
      <c r="H3" s="29" t="s">
        <v>615</v>
      </c>
      <c r="I3" s="8" t="s">
        <v>901</v>
      </c>
    </row>
    <row r="4" spans="1:11" x14ac:dyDescent="0.3">
      <c r="A4" s="33" t="s">
        <v>1300</v>
      </c>
      <c r="B4" s="31" t="s">
        <v>902</v>
      </c>
      <c r="C4" s="11" t="str">
        <f>IFERROR(VLOOKUP(A4,$F$4:$H$243,1,0),0)</f>
        <v xml:space="preserve">5to B Milenio </v>
      </c>
      <c r="D4" s="15" t="s">
        <v>612</v>
      </c>
      <c r="E4" t="s">
        <v>1113</v>
      </c>
      <c r="F4" s="6" t="s">
        <v>1300</v>
      </c>
      <c r="G4" s="6" t="s">
        <v>902</v>
      </c>
      <c r="H4" s="6"/>
      <c r="I4" s="6"/>
    </row>
    <row r="5" spans="1:11" x14ac:dyDescent="0.3">
      <c r="A5" s="30" t="s">
        <v>611</v>
      </c>
      <c r="B5" s="32" t="s">
        <v>7</v>
      </c>
      <c r="C5" s="11" t="str">
        <f>IFERROR(VLOOKUP(A5,$F$4:$H$243,1,0),0)</f>
        <v>Abogado Calderón</v>
      </c>
      <c r="D5" s="15" t="s">
        <v>613</v>
      </c>
      <c r="E5">
        <v>100</v>
      </c>
      <c r="F5" s="6" t="s">
        <v>611</v>
      </c>
      <c r="G5" s="12" t="s">
        <v>7</v>
      </c>
      <c r="H5" s="5" t="s">
        <v>466</v>
      </c>
      <c r="I5" s="6" t="s">
        <v>1255</v>
      </c>
    </row>
    <row r="6" spans="1:11" x14ac:dyDescent="0.3">
      <c r="A6" s="33" t="s">
        <v>1302</v>
      </c>
      <c r="B6" s="31" t="s">
        <v>0</v>
      </c>
      <c r="C6" s="11">
        <f>IFERROR(VLOOKUP(A6,$F$4:$H$243,1,0),0)</f>
        <v>0</v>
      </c>
      <c r="D6" s="1" t="str">
        <f t="shared" ref="D6:D66" si="0">IF(C6=0,"Cliente Nuevo","")</f>
        <v>Cliente Nuevo</v>
      </c>
      <c r="F6" s="4" t="s">
        <v>1477</v>
      </c>
      <c r="G6" s="5" t="s">
        <v>0</v>
      </c>
      <c r="H6" s="5" t="s">
        <v>464</v>
      </c>
      <c r="I6" s="6" t="s">
        <v>1260</v>
      </c>
    </row>
    <row r="7" spans="1:11" x14ac:dyDescent="0.3">
      <c r="A7" s="30" t="s">
        <v>1</v>
      </c>
      <c r="B7" s="32" t="s">
        <v>2</v>
      </c>
      <c r="C7" s="11" t="str">
        <f>IFERROR(VLOOKUP(A7,$F$4:$H$243,1,0),0)</f>
        <v>Adriana Cárdenas</v>
      </c>
      <c r="D7" s="1" t="str">
        <f t="shared" si="0"/>
        <v/>
      </c>
      <c r="F7" s="6" t="s">
        <v>1</v>
      </c>
      <c r="G7" s="7" t="s">
        <v>2</v>
      </c>
      <c r="H7" s="7"/>
      <c r="I7" s="6" t="s">
        <v>1254</v>
      </c>
    </row>
    <row r="8" spans="1:11" x14ac:dyDescent="0.3">
      <c r="A8" s="33" t="s">
        <v>3</v>
      </c>
      <c r="B8" s="31" t="s">
        <v>4</v>
      </c>
      <c r="C8" s="11" t="str">
        <f>IFERROR(VLOOKUP(A8,$F$4:$H$243,1,0),0)</f>
        <v>After</v>
      </c>
      <c r="D8" s="1" t="str">
        <f t="shared" si="0"/>
        <v/>
      </c>
      <c r="F8" s="4" t="s">
        <v>3</v>
      </c>
      <c r="G8" s="5" t="s">
        <v>4</v>
      </c>
      <c r="H8" s="5"/>
      <c r="I8" s="6" t="s">
        <v>1267</v>
      </c>
    </row>
    <row r="9" spans="1:11" x14ac:dyDescent="0.3">
      <c r="A9" s="30" t="s">
        <v>5</v>
      </c>
      <c r="B9" s="32" t="s">
        <v>6</v>
      </c>
      <c r="D9" s="1"/>
      <c r="F9" s="6" t="s">
        <v>5</v>
      </c>
      <c r="G9" s="7" t="s">
        <v>6</v>
      </c>
      <c r="H9" s="7" t="s">
        <v>463</v>
      </c>
      <c r="I9" s="6" t="s">
        <v>1254</v>
      </c>
    </row>
    <row r="10" spans="1:11" x14ac:dyDescent="0.3">
      <c r="A10" s="33" t="s">
        <v>1303</v>
      </c>
      <c r="B10" s="31" t="s">
        <v>1304</v>
      </c>
      <c r="C10" s="11" t="str">
        <f t="shared" ref="C10:C22" si="1">IFERROR(VLOOKUP(A10,$F$4:$H$243,1,0),0)</f>
        <v>Agustín Sanmartin</v>
      </c>
      <c r="D10" s="1" t="str">
        <f t="shared" si="0"/>
        <v/>
      </c>
      <c r="F10" s="6" t="s">
        <v>1303</v>
      </c>
      <c r="G10" s="6" t="s">
        <v>1304</v>
      </c>
      <c r="H10" s="6" t="s">
        <v>1478</v>
      </c>
      <c r="I10" s="6" t="s">
        <v>1257</v>
      </c>
    </row>
    <row r="11" spans="1:11" x14ac:dyDescent="0.3">
      <c r="A11" s="30" t="s">
        <v>903</v>
      </c>
      <c r="B11" s="32" t="s">
        <v>904</v>
      </c>
      <c r="C11" s="11" t="str">
        <f t="shared" si="1"/>
        <v>Aide Sanchez</v>
      </c>
      <c r="D11" s="1" t="str">
        <f t="shared" si="0"/>
        <v/>
      </c>
      <c r="F11" s="6" t="s">
        <v>903</v>
      </c>
      <c r="G11" s="6" t="s">
        <v>904</v>
      </c>
      <c r="H11" s="6" t="s">
        <v>1208</v>
      </c>
      <c r="I11" s="6" t="s">
        <v>1256</v>
      </c>
    </row>
    <row r="12" spans="1:11" x14ac:dyDescent="0.3">
      <c r="A12" s="33" t="s">
        <v>1305</v>
      </c>
      <c r="B12" s="31" t="s">
        <v>1306</v>
      </c>
      <c r="C12" s="11" t="str">
        <f t="shared" si="1"/>
        <v>Alan G</v>
      </c>
      <c r="D12" s="1" t="str">
        <f t="shared" si="0"/>
        <v/>
      </c>
      <c r="F12" s="6" t="s">
        <v>1305</v>
      </c>
      <c r="G12" s="6" t="s">
        <v>1306</v>
      </c>
      <c r="H12" s="6" t="s">
        <v>1480</v>
      </c>
      <c r="I12" s="6" t="s">
        <v>1256</v>
      </c>
    </row>
    <row r="13" spans="1:11" x14ac:dyDescent="0.3">
      <c r="A13" s="30" t="s">
        <v>905</v>
      </c>
      <c r="B13" s="32" t="s">
        <v>906</v>
      </c>
      <c r="C13" s="11">
        <f t="shared" si="1"/>
        <v>0</v>
      </c>
      <c r="D13" s="1" t="str">
        <f t="shared" si="0"/>
        <v>Cliente Nuevo</v>
      </c>
      <c r="F13" s="6" t="s">
        <v>8</v>
      </c>
      <c r="G13" s="7" t="s">
        <v>9</v>
      </c>
      <c r="H13" s="7" t="s">
        <v>465</v>
      </c>
      <c r="I13" s="6" t="s">
        <v>1256</v>
      </c>
    </row>
    <row r="14" spans="1:11" x14ac:dyDescent="0.3">
      <c r="A14" s="33" t="s">
        <v>8</v>
      </c>
      <c r="B14" s="31" t="s">
        <v>9</v>
      </c>
      <c r="C14" s="11" t="str">
        <f t="shared" si="1"/>
        <v>Alcides Buele</v>
      </c>
      <c r="D14" s="1" t="str">
        <f t="shared" si="0"/>
        <v/>
      </c>
      <c r="F14" s="4" t="s">
        <v>10</v>
      </c>
      <c r="G14" s="5" t="s">
        <v>11</v>
      </c>
      <c r="H14" s="5"/>
      <c r="I14" s="6" t="s">
        <v>1267</v>
      </c>
    </row>
    <row r="15" spans="1:11" x14ac:dyDescent="0.3">
      <c r="A15" s="30" t="s">
        <v>10</v>
      </c>
      <c r="B15" s="32" t="s">
        <v>11</v>
      </c>
      <c r="C15" s="11" t="str">
        <f t="shared" si="1"/>
        <v>Alex Buele</v>
      </c>
      <c r="D15" s="1" t="str">
        <f t="shared" si="0"/>
        <v/>
      </c>
      <c r="F15" s="6" t="s">
        <v>907</v>
      </c>
      <c r="G15" s="6" t="s">
        <v>908</v>
      </c>
      <c r="H15" s="6" t="s">
        <v>1481</v>
      </c>
      <c r="I15" s="6" t="s">
        <v>1262</v>
      </c>
    </row>
    <row r="16" spans="1:11" x14ac:dyDescent="0.3">
      <c r="A16" s="33" t="s">
        <v>907</v>
      </c>
      <c r="B16" s="31" t="s">
        <v>908</v>
      </c>
      <c r="C16" s="11" t="str">
        <f t="shared" si="1"/>
        <v>Alex Mora</v>
      </c>
      <c r="D16" s="1" t="str">
        <f t="shared" si="0"/>
        <v/>
      </c>
      <c r="F16" s="6" t="s">
        <v>545</v>
      </c>
      <c r="G16" s="12" t="s">
        <v>546</v>
      </c>
      <c r="H16" s="6" t="s">
        <v>1209</v>
      </c>
      <c r="I16" s="6" t="s">
        <v>1259</v>
      </c>
    </row>
    <row r="17" spans="1:9" x14ac:dyDescent="0.3">
      <c r="A17" s="30" t="s">
        <v>545</v>
      </c>
      <c r="B17" s="32" t="s">
        <v>546</v>
      </c>
      <c r="C17" s="11" t="str">
        <f t="shared" si="1"/>
        <v>Alfonso capa</v>
      </c>
      <c r="D17" s="1" t="str">
        <f t="shared" si="0"/>
        <v/>
      </c>
      <c r="F17" s="6" t="s">
        <v>12</v>
      </c>
      <c r="G17" s="7" t="s">
        <v>13</v>
      </c>
      <c r="H17" s="7" t="s">
        <v>1482</v>
      </c>
      <c r="I17" s="6" t="s">
        <v>1262</v>
      </c>
    </row>
    <row r="18" spans="1:9" x14ac:dyDescent="0.3">
      <c r="A18" s="33" t="s">
        <v>12</v>
      </c>
      <c r="B18" s="31" t="s">
        <v>13</v>
      </c>
      <c r="C18" s="11" t="str">
        <f t="shared" si="1"/>
        <v>Ali</v>
      </c>
      <c r="D18" s="1" t="str">
        <f t="shared" si="0"/>
        <v/>
      </c>
      <c r="F18" s="22" t="s">
        <v>909</v>
      </c>
      <c r="G18" s="22" t="s">
        <v>910</v>
      </c>
      <c r="H18" s="6" t="s">
        <v>1483</v>
      </c>
      <c r="I18" s="6" t="s">
        <v>1259</v>
      </c>
    </row>
    <row r="19" spans="1:9" x14ac:dyDescent="0.3">
      <c r="A19" s="30" t="s">
        <v>909</v>
      </c>
      <c r="B19" s="32" t="s">
        <v>910</v>
      </c>
      <c r="C19" s="11" t="str">
        <f t="shared" si="1"/>
        <v>AN3studio</v>
      </c>
      <c r="D19" s="1" t="str">
        <f t="shared" si="0"/>
        <v/>
      </c>
      <c r="F19" s="4" t="s">
        <v>14</v>
      </c>
      <c r="G19" s="5" t="s">
        <v>15</v>
      </c>
      <c r="H19" s="5" t="s">
        <v>467</v>
      </c>
      <c r="I19" s="6" t="s">
        <v>1267</v>
      </c>
    </row>
    <row r="20" spans="1:9" x14ac:dyDescent="0.3">
      <c r="A20" s="33" t="s">
        <v>14</v>
      </c>
      <c r="B20" s="31" t="s">
        <v>15</v>
      </c>
      <c r="C20" s="11" t="str">
        <f t="shared" si="1"/>
        <v>Anabel Ramíre</v>
      </c>
      <c r="D20" s="1" t="str">
        <f t="shared" si="0"/>
        <v/>
      </c>
      <c r="F20" s="22" t="s">
        <v>1308</v>
      </c>
      <c r="G20" s="22" t="s">
        <v>1309</v>
      </c>
      <c r="H20" s="6" t="s">
        <v>1479</v>
      </c>
      <c r="I20" s="6" t="s">
        <v>1257</v>
      </c>
    </row>
    <row r="21" spans="1:9" x14ac:dyDescent="0.3">
      <c r="A21" s="30" t="s">
        <v>1308</v>
      </c>
      <c r="B21" s="32" t="s">
        <v>1309</v>
      </c>
      <c r="C21" s="11" t="str">
        <f t="shared" si="1"/>
        <v>Andrea Ordoñez</v>
      </c>
      <c r="D21" s="1" t="str">
        <f t="shared" si="0"/>
        <v/>
      </c>
      <c r="F21" s="22" t="s">
        <v>911</v>
      </c>
      <c r="G21" s="22" t="s">
        <v>912</v>
      </c>
      <c r="H21" s="6"/>
      <c r="I21" s="6" t="s">
        <v>1267</v>
      </c>
    </row>
    <row r="22" spans="1:9" x14ac:dyDescent="0.3">
      <c r="A22" s="33" t="s">
        <v>911</v>
      </c>
      <c r="B22" s="31" t="s">
        <v>912</v>
      </c>
      <c r="C22" s="11" t="str">
        <f t="shared" si="1"/>
        <v>Andrea Oviedo</v>
      </c>
      <c r="D22" s="1" t="str">
        <f t="shared" si="0"/>
        <v/>
      </c>
      <c r="F22" s="6" t="s">
        <v>913</v>
      </c>
      <c r="G22" s="6" t="s">
        <v>914</v>
      </c>
      <c r="H22" s="6" t="s">
        <v>1484</v>
      </c>
      <c r="I22" s="6" t="s">
        <v>1260</v>
      </c>
    </row>
    <row r="23" spans="1:9" x14ac:dyDescent="0.3">
      <c r="A23" s="30" t="s">
        <v>913</v>
      </c>
      <c r="B23" s="32" t="s">
        <v>914</v>
      </c>
      <c r="D23" s="1"/>
      <c r="F23" s="6" t="s">
        <v>1310</v>
      </c>
      <c r="G23" s="6" t="s">
        <v>1311</v>
      </c>
      <c r="H23" s="6"/>
      <c r="I23" s="6"/>
    </row>
    <row r="24" spans="1:9" x14ac:dyDescent="0.3">
      <c r="A24" s="33" t="s">
        <v>1310</v>
      </c>
      <c r="B24" s="31" t="s">
        <v>1311</v>
      </c>
      <c r="C24" s="11" t="str">
        <f t="shared" ref="C24:C43" si="2">IFERROR(VLOOKUP(A24,$F$4:$H$243,1,0),0)</f>
        <v>Andrés Gallegos</v>
      </c>
      <c r="D24" s="1" t="str">
        <f t="shared" si="0"/>
        <v/>
      </c>
      <c r="F24" s="22" t="s">
        <v>1312</v>
      </c>
      <c r="G24" s="22" t="s">
        <v>1313</v>
      </c>
      <c r="H24" s="6"/>
      <c r="I24" s="6"/>
    </row>
    <row r="25" spans="1:9" x14ac:dyDescent="0.3">
      <c r="A25" s="30" t="s">
        <v>1312</v>
      </c>
      <c r="B25" s="32" t="s">
        <v>1313</v>
      </c>
      <c r="C25" s="11" t="str">
        <f t="shared" si="2"/>
        <v>Andrés Ramos</v>
      </c>
      <c r="D25" s="1" t="str">
        <f t="shared" si="0"/>
        <v/>
      </c>
      <c r="F25" s="6" t="s">
        <v>547</v>
      </c>
      <c r="G25" s="12" t="s">
        <v>548</v>
      </c>
      <c r="H25" s="6" t="s">
        <v>1485</v>
      </c>
      <c r="I25" s="6" t="s">
        <v>1259</v>
      </c>
    </row>
    <row r="26" spans="1:9" x14ac:dyDescent="0.3">
      <c r="A26" s="33" t="s">
        <v>547</v>
      </c>
      <c r="B26" s="31" t="s">
        <v>548</v>
      </c>
      <c r="C26" s="11" t="str">
        <f t="shared" si="2"/>
        <v>Andrés Temezaca</v>
      </c>
      <c r="D26" s="1" t="str">
        <f t="shared" si="0"/>
        <v/>
      </c>
      <c r="F26" s="6" t="s">
        <v>915</v>
      </c>
      <c r="G26" s="6" t="s">
        <v>555</v>
      </c>
      <c r="H26" s="6" t="s">
        <v>1486</v>
      </c>
      <c r="I26" s="6" t="s">
        <v>1258</v>
      </c>
    </row>
    <row r="27" spans="1:9" x14ac:dyDescent="0.3">
      <c r="A27" s="30" t="s">
        <v>915</v>
      </c>
      <c r="B27" s="32" t="s">
        <v>555</v>
      </c>
      <c r="C27" s="11" t="str">
        <f t="shared" si="2"/>
        <v>Angel Bustamante</v>
      </c>
      <c r="D27" s="1" t="str">
        <f t="shared" si="0"/>
        <v/>
      </c>
      <c r="F27" s="6" t="s">
        <v>16</v>
      </c>
      <c r="G27" s="7" t="s">
        <v>17</v>
      </c>
      <c r="H27" s="7" t="s">
        <v>468</v>
      </c>
      <c r="I27" s="6" t="s">
        <v>1260</v>
      </c>
    </row>
    <row r="28" spans="1:9" x14ac:dyDescent="0.3">
      <c r="A28" s="33" t="s">
        <v>16</v>
      </c>
      <c r="B28" s="31" t="s">
        <v>17</v>
      </c>
      <c r="C28" s="11" t="str">
        <f t="shared" si="2"/>
        <v>Angelica</v>
      </c>
      <c r="D28" s="1" t="str">
        <f t="shared" si="0"/>
        <v/>
      </c>
      <c r="F28" s="22" t="s">
        <v>1314</v>
      </c>
      <c r="G28" s="22" t="s">
        <v>1315</v>
      </c>
      <c r="H28" s="6" t="s">
        <v>1487</v>
      </c>
      <c r="I28" s="6" t="s">
        <v>1259</v>
      </c>
    </row>
    <row r="29" spans="1:9" x14ac:dyDescent="0.3">
      <c r="A29" s="30" t="s">
        <v>1314</v>
      </c>
      <c r="B29" s="32" t="s">
        <v>1315</v>
      </c>
      <c r="C29" s="11" t="str">
        <f t="shared" si="2"/>
        <v>Angelita</v>
      </c>
      <c r="D29" s="1" t="str">
        <f t="shared" si="0"/>
        <v/>
      </c>
      <c r="F29" s="6" t="s">
        <v>916</v>
      </c>
      <c r="G29" s="6" t="s">
        <v>917</v>
      </c>
      <c r="H29" s="6" t="s">
        <v>1210</v>
      </c>
      <c r="I29" s="6" t="s">
        <v>1267</v>
      </c>
    </row>
    <row r="30" spans="1:9" x14ac:dyDescent="0.3">
      <c r="A30" s="33" t="s">
        <v>916</v>
      </c>
      <c r="B30" s="31" t="s">
        <v>917</v>
      </c>
      <c r="C30" s="11" t="str">
        <f t="shared" si="2"/>
        <v>Angelita Pacheco</v>
      </c>
      <c r="D30" s="1" t="str">
        <f t="shared" si="0"/>
        <v/>
      </c>
      <c r="F30" s="22" t="s">
        <v>918</v>
      </c>
      <c r="G30" s="22" t="s">
        <v>919</v>
      </c>
      <c r="H30" s="6" t="s">
        <v>1487</v>
      </c>
      <c r="I30" s="6" t="s">
        <v>1259</v>
      </c>
    </row>
    <row r="31" spans="1:9" x14ac:dyDescent="0.3">
      <c r="A31" s="30" t="s">
        <v>918</v>
      </c>
      <c r="B31" s="32" t="s">
        <v>919</v>
      </c>
      <c r="C31" s="11" t="str">
        <f t="shared" si="2"/>
        <v>Angelita Zhamunghi</v>
      </c>
      <c r="D31" s="1" t="str">
        <f t="shared" si="0"/>
        <v/>
      </c>
      <c r="F31" s="4" t="s">
        <v>18</v>
      </c>
      <c r="G31" s="5" t="s">
        <v>19</v>
      </c>
      <c r="H31" s="5"/>
      <c r="I31" s="6" t="s">
        <v>1267</v>
      </c>
    </row>
    <row r="32" spans="1:9" x14ac:dyDescent="0.3">
      <c r="A32" s="33" t="s">
        <v>18</v>
      </c>
      <c r="B32" s="31" t="s">
        <v>19</v>
      </c>
      <c r="C32" s="11" t="str">
        <f t="shared" si="2"/>
        <v>Angie Torres</v>
      </c>
      <c r="D32" s="1" t="str">
        <f t="shared" si="0"/>
        <v/>
      </c>
      <c r="F32" s="6" t="s">
        <v>20</v>
      </c>
      <c r="G32" s="7" t="s">
        <v>462</v>
      </c>
      <c r="H32" s="7"/>
      <c r="I32" s="6" t="s">
        <v>1267</v>
      </c>
    </row>
    <row r="33" spans="1:9" x14ac:dyDescent="0.3">
      <c r="A33" s="30" t="s">
        <v>20</v>
      </c>
      <c r="B33" s="32" t="s">
        <v>920</v>
      </c>
      <c r="C33" s="11" t="str">
        <f t="shared" si="2"/>
        <v>Anita</v>
      </c>
      <c r="D33" s="1" t="str">
        <f t="shared" si="0"/>
        <v/>
      </c>
      <c r="F33" s="6" t="s">
        <v>549</v>
      </c>
      <c r="G33" s="12" t="s">
        <v>550</v>
      </c>
      <c r="H33" s="6" t="s">
        <v>1488</v>
      </c>
      <c r="I33" s="6" t="s">
        <v>1260</v>
      </c>
    </row>
    <row r="34" spans="1:9" x14ac:dyDescent="0.3">
      <c r="A34" s="33" t="s">
        <v>549</v>
      </c>
      <c r="B34" s="31" t="s">
        <v>550</v>
      </c>
      <c r="C34" s="11" t="str">
        <f t="shared" si="2"/>
        <v>Antonia Escobar</v>
      </c>
      <c r="D34" s="1" t="str">
        <f t="shared" si="0"/>
        <v/>
      </c>
      <c r="F34" s="4" t="s">
        <v>21</v>
      </c>
      <c r="G34" s="5" t="s">
        <v>22</v>
      </c>
      <c r="H34" s="5" t="s">
        <v>469</v>
      </c>
      <c r="I34" s="6" t="s">
        <v>1254</v>
      </c>
    </row>
    <row r="35" spans="1:9" x14ac:dyDescent="0.3">
      <c r="A35" s="30" t="s">
        <v>21</v>
      </c>
      <c r="B35" s="32" t="s">
        <v>22</v>
      </c>
      <c r="C35" s="11" t="str">
        <f t="shared" si="2"/>
        <v>Antonio Guillén</v>
      </c>
      <c r="D35" s="1" t="str">
        <f t="shared" si="0"/>
        <v/>
      </c>
      <c r="F35" s="6" t="s">
        <v>23</v>
      </c>
      <c r="G35" s="7" t="s">
        <v>24</v>
      </c>
      <c r="H35" s="7" t="s">
        <v>470</v>
      </c>
      <c r="I35" s="6" t="s">
        <v>1262</v>
      </c>
    </row>
    <row r="36" spans="1:9" x14ac:dyDescent="0.3">
      <c r="A36" s="33" t="s">
        <v>23</v>
      </c>
      <c r="B36" s="31" t="s">
        <v>24</v>
      </c>
      <c r="C36" s="11" t="str">
        <f t="shared" si="2"/>
        <v>Aquiles Ojeda</v>
      </c>
      <c r="D36" s="1" t="str">
        <f t="shared" si="0"/>
        <v/>
      </c>
      <c r="F36" s="4" t="s">
        <v>25</v>
      </c>
      <c r="G36" s="5" t="s">
        <v>26</v>
      </c>
      <c r="H36" s="5"/>
      <c r="I36" s="6" t="s">
        <v>1267</v>
      </c>
    </row>
    <row r="37" spans="1:9" x14ac:dyDescent="0.3">
      <c r="A37" s="30" t="s">
        <v>25</v>
      </c>
      <c r="B37" s="32" t="s">
        <v>26</v>
      </c>
      <c r="C37" s="11" t="str">
        <f t="shared" si="2"/>
        <v>Arsenio Castillo</v>
      </c>
      <c r="D37" s="1" t="str">
        <f t="shared" si="0"/>
        <v/>
      </c>
      <c r="F37" s="6" t="s">
        <v>27</v>
      </c>
      <c r="G37" s="7" t="s">
        <v>28</v>
      </c>
      <c r="H37" s="7" t="s">
        <v>471</v>
      </c>
      <c r="I37" s="6" t="s">
        <v>1256</v>
      </c>
    </row>
    <row r="38" spans="1:9" x14ac:dyDescent="0.3">
      <c r="A38" s="33" t="s">
        <v>27</v>
      </c>
      <c r="B38" s="31" t="s">
        <v>28</v>
      </c>
      <c r="C38" s="11" t="str">
        <f t="shared" si="2"/>
        <v>Aura Becerra Aura Becerra</v>
      </c>
      <c r="D38" s="1" t="str">
        <f t="shared" si="0"/>
        <v/>
      </c>
      <c r="F38" s="4" t="s">
        <v>29</v>
      </c>
      <c r="G38" s="5" t="s">
        <v>30</v>
      </c>
      <c r="H38" s="5" t="s">
        <v>472</v>
      </c>
      <c r="I38" s="6" t="s">
        <v>1259</v>
      </c>
    </row>
    <row r="39" spans="1:9" x14ac:dyDescent="0.3">
      <c r="A39" s="30" t="s">
        <v>29</v>
      </c>
      <c r="B39" s="32" t="s">
        <v>30</v>
      </c>
      <c r="C39" s="11" t="str">
        <f t="shared" si="2"/>
        <v>Automotriz Bco</v>
      </c>
      <c r="D39" s="1" t="str">
        <f t="shared" si="0"/>
        <v/>
      </c>
      <c r="F39" s="6" t="s">
        <v>31</v>
      </c>
      <c r="G39" s="7" t="s">
        <v>32</v>
      </c>
      <c r="H39" s="7" t="s">
        <v>473</v>
      </c>
      <c r="I39" s="6" t="s">
        <v>1259</v>
      </c>
    </row>
    <row r="40" spans="1:9" x14ac:dyDescent="0.3">
      <c r="A40" s="33" t="s">
        <v>31</v>
      </c>
      <c r="B40" s="31" t="s">
        <v>32</v>
      </c>
      <c r="C40" s="11" t="str">
        <f t="shared" si="2"/>
        <v>Bar Cuartel</v>
      </c>
      <c r="D40" s="1" t="str">
        <f t="shared" si="0"/>
        <v/>
      </c>
      <c r="F40" s="4" t="s">
        <v>33</v>
      </c>
      <c r="G40" s="5" t="s">
        <v>34</v>
      </c>
      <c r="H40" s="5" t="s">
        <v>1489</v>
      </c>
      <c r="I40" s="6" t="s">
        <v>1262</v>
      </c>
    </row>
    <row r="41" spans="1:9" x14ac:dyDescent="0.3">
      <c r="A41" s="30" t="s">
        <v>33</v>
      </c>
      <c r="B41" s="32" t="s">
        <v>34</v>
      </c>
      <c r="C41" s="11" t="str">
        <f t="shared" si="2"/>
        <v>Batallon</v>
      </c>
      <c r="D41" s="1" t="str">
        <f t="shared" si="0"/>
        <v/>
      </c>
      <c r="F41" s="6" t="s">
        <v>35</v>
      </c>
      <c r="G41" s="7" t="s">
        <v>452</v>
      </c>
      <c r="H41" s="7" t="s">
        <v>474</v>
      </c>
      <c r="I41" s="6" t="s">
        <v>1267</v>
      </c>
    </row>
    <row r="42" spans="1:9" x14ac:dyDescent="0.3">
      <c r="A42" s="33" t="s">
        <v>35</v>
      </c>
      <c r="B42" s="31" t="s">
        <v>551</v>
      </c>
      <c r="C42" s="11" t="str">
        <f t="shared" si="2"/>
        <v>Beatriz Garcia</v>
      </c>
      <c r="D42" s="1" t="str">
        <f t="shared" si="0"/>
        <v/>
      </c>
      <c r="F42" s="4" t="s">
        <v>461</v>
      </c>
      <c r="G42" s="5" t="s">
        <v>453</v>
      </c>
      <c r="H42" s="5" t="s">
        <v>474</v>
      </c>
      <c r="I42" s="6" t="s">
        <v>1267</v>
      </c>
    </row>
    <row r="43" spans="1:9" x14ac:dyDescent="0.3">
      <c r="A43" s="30" t="s">
        <v>36</v>
      </c>
      <c r="B43" s="32" t="s">
        <v>37</v>
      </c>
      <c r="C43" s="11" t="str">
        <f t="shared" si="2"/>
        <v>Benniz Cuenca</v>
      </c>
      <c r="D43" s="1" t="str">
        <f t="shared" si="0"/>
        <v/>
      </c>
      <c r="F43" s="6" t="s">
        <v>36</v>
      </c>
      <c r="G43" s="7" t="s">
        <v>37</v>
      </c>
      <c r="H43" s="7" t="s">
        <v>1490</v>
      </c>
      <c r="I43" s="6" t="s">
        <v>1263</v>
      </c>
    </row>
    <row r="44" spans="1:9" x14ac:dyDescent="0.3">
      <c r="A44" s="33" t="s">
        <v>38</v>
      </c>
      <c r="B44" s="31" t="s">
        <v>39</v>
      </c>
      <c r="D44" s="1"/>
      <c r="F44" s="4" t="s">
        <v>38</v>
      </c>
      <c r="G44" s="5" t="s">
        <v>39</v>
      </c>
      <c r="H44" s="5" t="s">
        <v>475</v>
      </c>
      <c r="I44" s="6" t="s">
        <v>1267</v>
      </c>
    </row>
    <row r="45" spans="1:9" x14ac:dyDescent="0.3">
      <c r="A45" s="30" t="s">
        <v>1316</v>
      </c>
      <c r="B45" s="32" t="s">
        <v>1317</v>
      </c>
      <c r="C45" s="11" t="str">
        <f t="shared" ref="C45:C76" si="3">IFERROR(VLOOKUP(A45,$F$4:$H$243,1,0),0)</f>
        <v>Beto Terminal</v>
      </c>
      <c r="D45" s="1" t="str">
        <f t="shared" si="0"/>
        <v/>
      </c>
      <c r="F45" s="22" t="s">
        <v>1316</v>
      </c>
      <c r="G45" s="22" t="s">
        <v>1317</v>
      </c>
      <c r="H45" s="6" t="s">
        <v>1491</v>
      </c>
      <c r="I45" s="6" t="s">
        <v>1262</v>
      </c>
    </row>
    <row r="46" spans="1:9" x14ac:dyDescent="0.3">
      <c r="A46" s="33" t="s">
        <v>1318</v>
      </c>
      <c r="B46" s="31" t="s">
        <v>1319</v>
      </c>
      <c r="C46" s="11" t="str">
        <f t="shared" si="3"/>
        <v>Betty Andrade</v>
      </c>
      <c r="D46" s="1" t="str">
        <f t="shared" si="0"/>
        <v/>
      </c>
      <c r="F46" s="6" t="s">
        <v>1318</v>
      </c>
      <c r="G46" s="6" t="s">
        <v>1319</v>
      </c>
      <c r="H46" s="6"/>
      <c r="I46" s="6"/>
    </row>
    <row r="47" spans="1:9" x14ac:dyDescent="0.3">
      <c r="A47" s="30" t="s">
        <v>921</v>
      </c>
      <c r="B47" s="32" t="s">
        <v>922</v>
      </c>
      <c r="C47" s="11" t="str">
        <f t="shared" si="3"/>
        <v>Bety Montalván</v>
      </c>
      <c r="D47" s="1" t="str">
        <f t="shared" si="0"/>
        <v/>
      </c>
      <c r="F47" s="22" t="s">
        <v>921</v>
      </c>
      <c r="G47" s="22" t="s">
        <v>922</v>
      </c>
      <c r="H47" s="6"/>
      <c r="I47" s="6" t="s">
        <v>1268</v>
      </c>
    </row>
    <row r="48" spans="1:9" x14ac:dyDescent="0.3">
      <c r="A48" s="33" t="s">
        <v>552</v>
      </c>
      <c r="B48" s="31" t="s">
        <v>553</v>
      </c>
      <c r="C48" s="11" t="str">
        <f t="shared" si="3"/>
        <v>Bianca Cuenca</v>
      </c>
      <c r="D48" s="1" t="str">
        <f t="shared" si="0"/>
        <v/>
      </c>
      <c r="F48" s="6" t="s">
        <v>552</v>
      </c>
      <c r="G48" s="12" t="s">
        <v>553</v>
      </c>
      <c r="H48" s="6" t="s">
        <v>1211</v>
      </c>
      <c r="I48" s="6" t="s">
        <v>1263</v>
      </c>
    </row>
    <row r="49" spans="1:9" x14ac:dyDescent="0.3">
      <c r="A49" s="30" t="s">
        <v>923</v>
      </c>
      <c r="B49" s="32" t="s">
        <v>924</v>
      </c>
      <c r="C49" s="11" t="str">
        <f t="shared" si="3"/>
        <v>Blanca Jumbo</v>
      </c>
      <c r="D49" s="1" t="str">
        <f t="shared" si="0"/>
        <v/>
      </c>
      <c r="F49" s="6" t="s">
        <v>554</v>
      </c>
      <c r="G49" s="12" t="s">
        <v>555</v>
      </c>
      <c r="H49" s="6"/>
      <c r="I49" s="6" t="s">
        <v>1258</v>
      </c>
    </row>
    <row r="50" spans="1:9" x14ac:dyDescent="0.3">
      <c r="A50" s="33" t="s">
        <v>1320</v>
      </c>
      <c r="B50" s="31" t="s">
        <v>513</v>
      </c>
      <c r="C50" s="11" t="str">
        <f t="shared" si="3"/>
        <v>Blanca Torres</v>
      </c>
      <c r="D50" s="1" t="str">
        <f t="shared" si="0"/>
        <v/>
      </c>
      <c r="F50" s="22" t="s">
        <v>923</v>
      </c>
      <c r="G50" s="22" t="s">
        <v>924</v>
      </c>
      <c r="H50" s="6" t="s">
        <v>1212</v>
      </c>
      <c r="I50" s="6" t="s">
        <v>1267</v>
      </c>
    </row>
    <row r="51" spans="1:9" x14ac:dyDescent="0.3">
      <c r="A51" s="30" t="s">
        <v>40</v>
      </c>
      <c r="B51" s="32" t="s">
        <v>41</v>
      </c>
      <c r="C51" s="11" t="str">
        <f t="shared" si="3"/>
        <v>Blanca zatama</v>
      </c>
      <c r="D51" s="1" t="str">
        <f t="shared" si="0"/>
        <v/>
      </c>
      <c r="F51" s="6" t="s">
        <v>1320</v>
      </c>
      <c r="G51" s="6" t="s">
        <v>513</v>
      </c>
      <c r="H51" s="6"/>
      <c r="I51" s="6"/>
    </row>
    <row r="52" spans="1:9" x14ac:dyDescent="0.3">
      <c r="A52" s="33" t="s">
        <v>1321</v>
      </c>
      <c r="B52" s="31" t="s">
        <v>1322</v>
      </c>
      <c r="C52" s="11" t="str">
        <f t="shared" si="3"/>
        <v>Blanca Zatama 2</v>
      </c>
      <c r="D52" s="1" t="str">
        <f t="shared" si="0"/>
        <v/>
      </c>
      <c r="F52" s="6" t="s">
        <v>40</v>
      </c>
      <c r="G52" s="7" t="s">
        <v>41</v>
      </c>
      <c r="H52" s="7" t="s">
        <v>1213</v>
      </c>
      <c r="I52" s="6" t="s">
        <v>1267</v>
      </c>
    </row>
    <row r="53" spans="1:9" x14ac:dyDescent="0.3">
      <c r="A53" s="30" t="s">
        <v>925</v>
      </c>
      <c r="B53" s="32" t="s">
        <v>926</v>
      </c>
      <c r="C53" s="11" t="str">
        <f t="shared" si="3"/>
        <v>Brit Villa 221</v>
      </c>
      <c r="D53" s="1" t="str">
        <f t="shared" si="0"/>
        <v/>
      </c>
      <c r="F53" s="6" t="s">
        <v>1321</v>
      </c>
      <c r="G53" s="6" t="s">
        <v>1322</v>
      </c>
      <c r="H53" s="6"/>
      <c r="I53" s="6"/>
    </row>
    <row r="54" spans="1:9" x14ac:dyDescent="0.3">
      <c r="A54" s="33" t="s">
        <v>927</v>
      </c>
      <c r="B54" s="31" t="s">
        <v>134</v>
      </c>
      <c r="C54" s="11" t="str">
        <f t="shared" si="3"/>
        <v>Buca</v>
      </c>
      <c r="D54" s="1" t="str">
        <f t="shared" si="0"/>
        <v/>
      </c>
      <c r="F54" s="22" t="s">
        <v>925</v>
      </c>
      <c r="G54" s="22" t="s">
        <v>926</v>
      </c>
      <c r="H54" s="6" t="s">
        <v>1492</v>
      </c>
      <c r="I54" s="6" t="s">
        <v>1262</v>
      </c>
    </row>
    <row r="55" spans="1:9" x14ac:dyDescent="0.3">
      <c r="A55" s="30" t="s">
        <v>42</v>
      </c>
      <c r="B55" s="32" t="s">
        <v>43</v>
      </c>
      <c r="C55" s="11" t="str">
        <f t="shared" si="3"/>
        <v>Bustamante</v>
      </c>
      <c r="D55" s="1" t="str">
        <f t="shared" si="0"/>
        <v/>
      </c>
      <c r="F55" s="6" t="s">
        <v>927</v>
      </c>
      <c r="G55" s="6" t="s">
        <v>134</v>
      </c>
      <c r="H55" s="6" t="s">
        <v>1493</v>
      </c>
      <c r="I55" s="6" t="s">
        <v>1257</v>
      </c>
    </row>
    <row r="56" spans="1:9" x14ac:dyDescent="0.3">
      <c r="A56" s="33" t="s">
        <v>556</v>
      </c>
      <c r="B56" s="31" t="s">
        <v>557</v>
      </c>
      <c r="C56" s="11" t="str">
        <f t="shared" si="3"/>
        <v>Byron Mora</v>
      </c>
      <c r="D56" s="1" t="str">
        <f t="shared" si="0"/>
        <v/>
      </c>
      <c r="F56" s="4" t="s">
        <v>42</v>
      </c>
      <c r="G56" s="5" t="s">
        <v>43</v>
      </c>
      <c r="H56" s="5"/>
      <c r="I56" s="6" t="s">
        <v>1267</v>
      </c>
    </row>
    <row r="57" spans="1:9" x14ac:dyDescent="0.3">
      <c r="A57" s="30" t="s">
        <v>928</v>
      </c>
      <c r="B57" s="32" t="s">
        <v>929</v>
      </c>
      <c r="C57" s="11" t="str">
        <f t="shared" si="3"/>
        <v>Canario</v>
      </c>
      <c r="D57" s="1" t="str">
        <f t="shared" si="0"/>
        <v/>
      </c>
      <c r="F57" s="6" t="s">
        <v>556</v>
      </c>
      <c r="G57" s="12" t="s">
        <v>557</v>
      </c>
      <c r="H57" s="6" t="s">
        <v>1494</v>
      </c>
      <c r="I57" s="6" t="s">
        <v>1261</v>
      </c>
    </row>
    <row r="58" spans="1:9" x14ac:dyDescent="0.3">
      <c r="A58" s="33" t="s">
        <v>1323</v>
      </c>
      <c r="B58" s="31" t="s">
        <v>1324</v>
      </c>
      <c r="C58" s="11" t="str">
        <f t="shared" si="3"/>
        <v>Canario 2</v>
      </c>
      <c r="D58" s="1" t="str">
        <f t="shared" si="0"/>
        <v/>
      </c>
      <c r="F58" s="22" t="s">
        <v>928</v>
      </c>
      <c r="G58" s="22" t="s">
        <v>929</v>
      </c>
      <c r="H58" s="6" t="s">
        <v>1214</v>
      </c>
      <c r="I58" s="6" t="s">
        <v>1259</v>
      </c>
    </row>
    <row r="59" spans="1:9" x14ac:dyDescent="0.3">
      <c r="A59" s="30" t="s">
        <v>558</v>
      </c>
      <c r="B59" s="32" t="s">
        <v>559</v>
      </c>
      <c r="C59" s="11" t="str">
        <f t="shared" si="3"/>
        <v>Carlos Alvear</v>
      </c>
      <c r="D59" s="1" t="str">
        <f t="shared" si="0"/>
        <v/>
      </c>
      <c r="F59" s="6" t="s">
        <v>1323</v>
      </c>
      <c r="G59" s="6" t="s">
        <v>1324</v>
      </c>
      <c r="H59" s="6" t="s">
        <v>1214</v>
      </c>
      <c r="I59" s="6" t="s">
        <v>1259</v>
      </c>
    </row>
    <row r="60" spans="1:9" x14ac:dyDescent="0.3">
      <c r="A60" s="33" t="s">
        <v>560</v>
      </c>
      <c r="B60" s="31" t="s">
        <v>561</v>
      </c>
      <c r="C60" s="11" t="str">
        <f t="shared" si="3"/>
        <v>Carlos Julio</v>
      </c>
      <c r="D60" s="1" t="str">
        <f t="shared" si="0"/>
        <v/>
      </c>
      <c r="F60" s="6" t="s">
        <v>558</v>
      </c>
      <c r="G60" s="12" t="s">
        <v>559</v>
      </c>
      <c r="H60" s="6" t="s">
        <v>1495</v>
      </c>
      <c r="I60" s="6" t="s">
        <v>1257</v>
      </c>
    </row>
    <row r="61" spans="1:9" x14ac:dyDescent="0.3">
      <c r="A61" s="30" t="s">
        <v>562</v>
      </c>
      <c r="B61" s="32" t="s">
        <v>563</v>
      </c>
      <c r="C61" s="11" t="str">
        <f t="shared" si="3"/>
        <v>Carlos Pazmiño</v>
      </c>
      <c r="D61" s="1" t="str">
        <f t="shared" si="0"/>
        <v/>
      </c>
      <c r="F61" s="6" t="s">
        <v>560</v>
      </c>
      <c r="G61" s="12" t="s">
        <v>561</v>
      </c>
      <c r="H61" s="6" t="s">
        <v>1496</v>
      </c>
      <c r="I61" s="6" t="s">
        <v>1259</v>
      </c>
    </row>
    <row r="62" spans="1:9" x14ac:dyDescent="0.3">
      <c r="A62" s="33" t="s">
        <v>930</v>
      </c>
      <c r="B62" s="31" t="s">
        <v>931</v>
      </c>
      <c r="C62" s="11" t="str">
        <f t="shared" si="3"/>
        <v>Carlos Real 🥰</v>
      </c>
      <c r="D62" s="1" t="str">
        <f t="shared" si="0"/>
        <v/>
      </c>
      <c r="F62" s="6" t="s">
        <v>562</v>
      </c>
      <c r="G62" s="12" t="s">
        <v>563</v>
      </c>
      <c r="H62" s="6" t="s">
        <v>1215</v>
      </c>
      <c r="I62" s="6" t="s">
        <v>1259</v>
      </c>
    </row>
    <row r="63" spans="1:9" x14ac:dyDescent="0.3">
      <c r="A63" s="30" t="s">
        <v>932</v>
      </c>
      <c r="B63" s="32" t="s">
        <v>933</v>
      </c>
      <c r="C63" s="11" t="str">
        <f t="shared" si="3"/>
        <v>Carmen 9 De Diciembre</v>
      </c>
      <c r="D63" s="1" t="str">
        <f t="shared" si="0"/>
        <v/>
      </c>
      <c r="F63" s="22" t="s">
        <v>930</v>
      </c>
      <c r="G63" s="22" t="s">
        <v>931</v>
      </c>
      <c r="H63" s="6" t="s">
        <v>1216</v>
      </c>
      <c r="I63" s="6" t="s">
        <v>1268</v>
      </c>
    </row>
    <row r="64" spans="1:9" x14ac:dyDescent="0.3">
      <c r="A64" s="33" t="s">
        <v>934</v>
      </c>
      <c r="B64" s="31" t="s">
        <v>935</v>
      </c>
      <c r="C64" s="11" t="str">
        <f t="shared" si="3"/>
        <v>Carmen Sanchez</v>
      </c>
      <c r="D64" s="1" t="str">
        <f t="shared" si="0"/>
        <v/>
      </c>
      <c r="F64" s="6" t="s">
        <v>932</v>
      </c>
      <c r="G64" s="6" t="s">
        <v>933</v>
      </c>
      <c r="H64" s="6"/>
      <c r="I64" s="6" t="s">
        <v>1254</v>
      </c>
    </row>
    <row r="65" spans="1:9" x14ac:dyDescent="0.3">
      <c r="A65" s="30" t="s">
        <v>44</v>
      </c>
      <c r="B65" s="32" t="s">
        <v>45</v>
      </c>
      <c r="C65" s="11" t="str">
        <f t="shared" si="3"/>
        <v>Carmita Guaman</v>
      </c>
      <c r="D65" s="1" t="str">
        <f t="shared" si="0"/>
        <v/>
      </c>
      <c r="F65" s="22" t="s">
        <v>934</v>
      </c>
      <c r="G65" s="22" t="s">
        <v>935</v>
      </c>
      <c r="H65" s="6"/>
      <c r="I65" s="6" t="s">
        <v>1267</v>
      </c>
    </row>
    <row r="66" spans="1:9" x14ac:dyDescent="0.3">
      <c r="A66" s="33" t="s">
        <v>936</v>
      </c>
      <c r="B66" s="31" t="s">
        <v>937</v>
      </c>
      <c r="C66" s="11" t="str">
        <f t="shared" si="3"/>
        <v>Carmita Luna</v>
      </c>
      <c r="D66" s="1" t="str">
        <f t="shared" si="0"/>
        <v/>
      </c>
      <c r="F66" s="6" t="s">
        <v>44</v>
      </c>
      <c r="G66" s="7" t="s">
        <v>45</v>
      </c>
      <c r="H66" s="7"/>
      <c r="I66" s="6" t="s">
        <v>1267</v>
      </c>
    </row>
    <row r="67" spans="1:9" x14ac:dyDescent="0.3">
      <c r="A67" s="30" t="s">
        <v>938</v>
      </c>
      <c r="B67" s="32" t="s">
        <v>77</v>
      </c>
      <c r="C67" s="11" t="str">
        <f t="shared" si="3"/>
        <v>Carolina Churro</v>
      </c>
      <c r="D67" s="1" t="str">
        <f t="shared" ref="D67:D130" si="4">IF(C67=0,"Cliente Nuevo","")</f>
        <v/>
      </c>
      <c r="F67" s="22" t="s">
        <v>936</v>
      </c>
      <c r="G67" s="22" t="s">
        <v>937</v>
      </c>
      <c r="H67" s="6"/>
      <c r="I67" s="6" t="s">
        <v>1261</v>
      </c>
    </row>
    <row r="68" spans="1:9" x14ac:dyDescent="0.3">
      <c r="A68" s="33" t="s">
        <v>939</v>
      </c>
      <c r="B68" s="31" t="s">
        <v>940</v>
      </c>
      <c r="C68" s="11" t="str">
        <f t="shared" si="3"/>
        <v>Carolina Silva</v>
      </c>
      <c r="D68" s="1" t="str">
        <f t="shared" si="4"/>
        <v/>
      </c>
      <c r="F68" s="6" t="s">
        <v>938</v>
      </c>
      <c r="G68" s="6" t="s">
        <v>77</v>
      </c>
      <c r="H68" s="6" t="s">
        <v>1217</v>
      </c>
      <c r="I68" s="6" t="s">
        <v>1261</v>
      </c>
    </row>
    <row r="69" spans="1:9" x14ac:dyDescent="0.3">
      <c r="A69" s="30" t="s">
        <v>1325</v>
      </c>
      <c r="B69" s="32" t="s">
        <v>1326</v>
      </c>
      <c r="C69" s="11" t="str">
        <f t="shared" si="3"/>
        <v>Cecilia Las Palmas</v>
      </c>
      <c r="D69" s="1" t="str">
        <f t="shared" si="4"/>
        <v/>
      </c>
      <c r="F69" s="22" t="s">
        <v>939</v>
      </c>
      <c r="G69" s="22" t="s">
        <v>940</v>
      </c>
      <c r="H69" s="6" t="s">
        <v>1218</v>
      </c>
      <c r="I69" s="6" t="s">
        <v>1258</v>
      </c>
    </row>
    <row r="70" spans="1:9" x14ac:dyDescent="0.3">
      <c r="A70" s="33" t="s">
        <v>1327</v>
      </c>
      <c r="B70" s="31" t="s">
        <v>1328</v>
      </c>
      <c r="C70" s="11" t="str">
        <f t="shared" si="3"/>
        <v>Che chi</v>
      </c>
      <c r="D70" s="1" t="str">
        <f t="shared" si="4"/>
        <v/>
      </c>
      <c r="F70" s="22" t="s">
        <v>1325</v>
      </c>
      <c r="G70" s="22" t="s">
        <v>1326</v>
      </c>
      <c r="H70" s="6"/>
      <c r="I70" s="6"/>
    </row>
    <row r="71" spans="1:9" x14ac:dyDescent="0.3">
      <c r="A71" s="30" t="s">
        <v>46</v>
      </c>
      <c r="B71" s="32" t="s">
        <v>47</v>
      </c>
      <c r="C71" s="11">
        <f t="shared" si="3"/>
        <v>0</v>
      </c>
      <c r="D71" s="1" t="str">
        <f t="shared" si="4"/>
        <v>Cliente Nuevo</v>
      </c>
      <c r="F71" s="6" t="s">
        <v>1327</v>
      </c>
      <c r="G71" s="6" t="s">
        <v>1328</v>
      </c>
      <c r="H71" s="6" t="s">
        <v>1497</v>
      </c>
      <c r="I71" s="6" t="s">
        <v>1256</v>
      </c>
    </row>
    <row r="72" spans="1:9" x14ac:dyDescent="0.3">
      <c r="A72" s="33" t="s">
        <v>564</v>
      </c>
      <c r="B72" s="31" t="s">
        <v>565</v>
      </c>
      <c r="C72" s="11" t="str">
        <f t="shared" si="3"/>
        <v>Churorona</v>
      </c>
      <c r="D72" s="1" t="str">
        <f t="shared" si="4"/>
        <v/>
      </c>
      <c r="F72" s="6" t="s">
        <v>530</v>
      </c>
      <c r="G72" s="7" t="s">
        <v>532</v>
      </c>
      <c r="H72" s="7" t="s">
        <v>531</v>
      </c>
      <c r="I72" s="6" t="s">
        <v>1268</v>
      </c>
    </row>
    <row r="73" spans="1:9" x14ac:dyDescent="0.3">
      <c r="A73" s="30" t="s">
        <v>48</v>
      </c>
      <c r="B73" s="32" t="s">
        <v>49</v>
      </c>
      <c r="C73" s="11" t="str">
        <f t="shared" si="3"/>
        <v>Churro</v>
      </c>
      <c r="D73" s="1" t="str">
        <f t="shared" si="4"/>
        <v/>
      </c>
      <c r="F73" s="6" t="s">
        <v>564</v>
      </c>
      <c r="G73" s="12" t="s">
        <v>565</v>
      </c>
      <c r="H73" s="6" t="s">
        <v>1498</v>
      </c>
      <c r="I73" s="6" t="s">
        <v>1256</v>
      </c>
    </row>
    <row r="74" spans="1:9" x14ac:dyDescent="0.3">
      <c r="A74" s="33" t="s">
        <v>941</v>
      </c>
      <c r="B74" s="31" t="s">
        <v>942</v>
      </c>
      <c r="C74" s="11" t="str">
        <f t="shared" si="3"/>
        <v>Cinthia BBT CACPE</v>
      </c>
      <c r="D74" s="1" t="str">
        <f t="shared" si="4"/>
        <v/>
      </c>
      <c r="F74" s="4" t="s">
        <v>48</v>
      </c>
      <c r="G74" s="5" t="s">
        <v>49</v>
      </c>
      <c r="H74" s="6" t="s">
        <v>1217</v>
      </c>
      <c r="I74" s="6" t="s">
        <v>1262</v>
      </c>
    </row>
    <row r="75" spans="1:9" x14ac:dyDescent="0.3">
      <c r="A75" s="30" t="s">
        <v>566</v>
      </c>
      <c r="B75" s="32" t="s">
        <v>567</v>
      </c>
      <c r="C75" s="11" t="str">
        <f t="shared" si="3"/>
        <v>Claudia Cabrera</v>
      </c>
      <c r="D75" s="1" t="str">
        <f t="shared" si="4"/>
        <v/>
      </c>
      <c r="F75" s="22" t="s">
        <v>941</v>
      </c>
      <c r="G75" s="22" t="s">
        <v>942</v>
      </c>
      <c r="H75" s="6" t="s">
        <v>1499</v>
      </c>
      <c r="I75" s="6" t="s">
        <v>1500</v>
      </c>
    </row>
    <row r="76" spans="1:9" x14ac:dyDescent="0.3">
      <c r="A76" s="33" t="s">
        <v>52</v>
      </c>
      <c r="B76" s="31" t="s">
        <v>53</v>
      </c>
      <c r="C76" s="11" t="str">
        <f t="shared" si="3"/>
        <v>Cliente 0010</v>
      </c>
      <c r="D76" s="1" t="str">
        <f t="shared" si="4"/>
        <v/>
      </c>
      <c r="F76" s="6" t="s">
        <v>566</v>
      </c>
      <c r="G76" s="12" t="s">
        <v>567</v>
      </c>
      <c r="H76" s="6" t="s">
        <v>1501</v>
      </c>
      <c r="I76" s="6" t="s">
        <v>1256</v>
      </c>
    </row>
    <row r="77" spans="1:9" x14ac:dyDescent="0.3">
      <c r="A77" s="30" t="s">
        <v>54</v>
      </c>
      <c r="B77" s="32" t="s">
        <v>55</v>
      </c>
      <c r="C77" s="11" t="str">
        <f t="shared" ref="C77:C101" si="5">IFERROR(VLOOKUP(A77,$F$4:$H$243,1,0),0)</f>
        <v>Cliente 007</v>
      </c>
      <c r="D77" s="1" t="str">
        <f t="shared" si="4"/>
        <v/>
      </c>
      <c r="F77" s="6" t="s">
        <v>50</v>
      </c>
      <c r="G77" s="7" t="s">
        <v>51</v>
      </c>
      <c r="H77" s="7"/>
      <c r="I77" s="6" t="s">
        <v>1267</v>
      </c>
    </row>
    <row r="78" spans="1:9" x14ac:dyDescent="0.3">
      <c r="A78" s="33" t="s">
        <v>56</v>
      </c>
      <c r="B78" s="31" t="s">
        <v>57</v>
      </c>
      <c r="C78" s="11" t="str">
        <f t="shared" si="5"/>
        <v>Cliente 008</v>
      </c>
      <c r="D78" s="1" t="str">
        <f t="shared" si="4"/>
        <v/>
      </c>
      <c r="F78" s="4" t="s">
        <v>139</v>
      </c>
      <c r="G78" s="5" t="s">
        <v>140</v>
      </c>
      <c r="H78" s="5"/>
      <c r="I78" s="6" t="s">
        <v>1257</v>
      </c>
    </row>
    <row r="79" spans="1:9" x14ac:dyDescent="0.3">
      <c r="A79" s="30" t="s">
        <v>58</v>
      </c>
      <c r="B79" s="32" t="s">
        <v>59</v>
      </c>
      <c r="C79" s="11" t="str">
        <f t="shared" si="5"/>
        <v>Cliente 0098</v>
      </c>
      <c r="D79" s="1" t="str">
        <f t="shared" si="4"/>
        <v/>
      </c>
      <c r="F79" s="6" t="s">
        <v>52</v>
      </c>
      <c r="G79" s="7" t="s">
        <v>53</v>
      </c>
      <c r="H79" s="7"/>
      <c r="I79" s="6" t="s">
        <v>1267</v>
      </c>
    </row>
    <row r="80" spans="1:9" x14ac:dyDescent="0.3">
      <c r="A80" s="33" t="s">
        <v>62</v>
      </c>
      <c r="B80" s="31" t="s">
        <v>63</v>
      </c>
      <c r="C80" s="11" t="str">
        <f t="shared" si="5"/>
        <v>Cliente 102</v>
      </c>
      <c r="D80" s="1" t="str">
        <f t="shared" si="4"/>
        <v/>
      </c>
      <c r="F80" s="4" t="s">
        <v>54</v>
      </c>
      <c r="G80" s="5" t="s">
        <v>55</v>
      </c>
      <c r="H80" s="5"/>
      <c r="I80" s="6" t="s">
        <v>1267</v>
      </c>
    </row>
    <row r="81" spans="1:9" x14ac:dyDescent="0.3">
      <c r="A81" s="30" t="s">
        <v>70</v>
      </c>
      <c r="B81" s="32" t="s">
        <v>71</v>
      </c>
      <c r="C81" s="11" t="str">
        <f t="shared" si="5"/>
        <v>Cliente 111</v>
      </c>
      <c r="D81" s="1" t="str">
        <f t="shared" si="4"/>
        <v/>
      </c>
      <c r="F81" s="6" t="s">
        <v>56</v>
      </c>
      <c r="G81" s="7" t="s">
        <v>57</v>
      </c>
      <c r="H81" s="7"/>
      <c r="I81" s="6" t="s">
        <v>1267</v>
      </c>
    </row>
    <row r="82" spans="1:9" x14ac:dyDescent="0.3">
      <c r="A82" s="33" t="s">
        <v>72</v>
      </c>
      <c r="B82" s="31" t="s">
        <v>73</v>
      </c>
      <c r="C82" s="11" t="str">
        <f t="shared" si="5"/>
        <v>Cliente 12</v>
      </c>
      <c r="D82" s="1" t="str">
        <f t="shared" si="4"/>
        <v/>
      </c>
      <c r="F82" s="4" t="s">
        <v>58</v>
      </c>
      <c r="G82" s="5" t="s">
        <v>59</v>
      </c>
      <c r="H82" s="5"/>
      <c r="I82" s="6" t="s">
        <v>1267</v>
      </c>
    </row>
    <row r="83" spans="1:9" x14ac:dyDescent="0.3">
      <c r="A83" s="30" t="s">
        <v>74</v>
      </c>
      <c r="B83" s="32" t="s">
        <v>75</v>
      </c>
      <c r="C83" s="11" t="str">
        <f t="shared" si="5"/>
        <v>Cliente 13</v>
      </c>
      <c r="D83" s="1" t="str">
        <f t="shared" si="4"/>
        <v/>
      </c>
      <c r="F83" s="6" t="s">
        <v>60</v>
      </c>
      <c r="G83" s="7" t="s">
        <v>61</v>
      </c>
      <c r="H83" s="7"/>
      <c r="I83" s="6" t="s">
        <v>1267</v>
      </c>
    </row>
    <row r="84" spans="1:9" x14ac:dyDescent="0.3">
      <c r="A84" s="33" t="s">
        <v>943</v>
      </c>
      <c r="B84" s="31" t="s">
        <v>99</v>
      </c>
      <c r="C84" s="11" t="str">
        <f t="shared" si="5"/>
        <v>Cliente 14</v>
      </c>
      <c r="D84" s="1" t="str">
        <f t="shared" si="4"/>
        <v/>
      </c>
      <c r="F84" s="4" t="s">
        <v>62</v>
      </c>
      <c r="G84" s="5" t="s">
        <v>63</v>
      </c>
      <c r="H84" s="5"/>
      <c r="I84" s="6" t="s">
        <v>1267</v>
      </c>
    </row>
    <row r="85" spans="1:9" x14ac:dyDescent="0.3">
      <c r="A85" s="30" t="s">
        <v>78</v>
      </c>
      <c r="B85" s="32" t="s">
        <v>79</v>
      </c>
      <c r="C85" s="11" t="str">
        <f t="shared" si="5"/>
        <v>Cliente 21</v>
      </c>
      <c r="D85" s="1" t="str">
        <f t="shared" si="4"/>
        <v/>
      </c>
      <c r="F85" s="6" t="s">
        <v>64</v>
      </c>
      <c r="G85" s="7" t="s">
        <v>65</v>
      </c>
      <c r="H85" s="7"/>
      <c r="I85" s="6" t="s">
        <v>1267</v>
      </c>
    </row>
    <row r="86" spans="1:9" x14ac:dyDescent="0.3">
      <c r="A86" s="33" t="s">
        <v>80</v>
      </c>
      <c r="B86" s="31" t="s">
        <v>81</v>
      </c>
      <c r="C86" s="11" t="str">
        <f t="shared" si="5"/>
        <v>Cliente 22</v>
      </c>
      <c r="D86" s="1" t="str">
        <f t="shared" si="4"/>
        <v/>
      </c>
      <c r="F86" s="4" t="s">
        <v>66</v>
      </c>
      <c r="G86" s="5" t="s">
        <v>67</v>
      </c>
      <c r="H86" s="5"/>
      <c r="I86" s="6" t="s">
        <v>1267</v>
      </c>
    </row>
    <row r="87" spans="1:9" x14ac:dyDescent="0.3">
      <c r="A87" s="30" t="s">
        <v>82</v>
      </c>
      <c r="B87" s="32" t="s">
        <v>83</v>
      </c>
      <c r="C87" s="11" t="str">
        <f t="shared" si="5"/>
        <v>Cliente 23</v>
      </c>
      <c r="D87" s="1" t="str">
        <f t="shared" si="4"/>
        <v/>
      </c>
      <c r="F87" s="6" t="s">
        <v>68</v>
      </c>
      <c r="G87" s="7" t="s">
        <v>69</v>
      </c>
      <c r="H87" s="7"/>
      <c r="I87" s="6" t="s">
        <v>1267</v>
      </c>
    </row>
    <row r="88" spans="1:9" x14ac:dyDescent="0.3">
      <c r="A88" s="33" t="s">
        <v>84</v>
      </c>
      <c r="B88" s="31" t="s">
        <v>85</v>
      </c>
      <c r="C88" s="11" t="str">
        <f t="shared" si="5"/>
        <v>Cliente 233</v>
      </c>
      <c r="D88" s="1" t="str">
        <f t="shared" si="4"/>
        <v/>
      </c>
      <c r="F88" s="4" t="s">
        <v>70</v>
      </c>
      <c r="G88" s="5" t="s">
        <v>71</v>
      </c>
      <c r="H88" s="5"/>
      <c r="I88" s="6" t="s">
        <v>1267</v>
      </c>
    </row>
    <row r="89" spans="1:9" x14ac:dyDescent="0.3">
      <c r="A89" s="30" t="s">
        <v>86</v>
      </c>
      <c r="B89" s="32" t="s">
        <v>87</v>
      </c>
      <c r="C89" s="11" t="str">
        <f t="shared" si="5"/>
        <v>Cliente 234</v>
      </c>
      <c r="D89" s="1" t="str">
        <f t="shared" si="4"/>
        <v/>
      </c>
      <c r="F89" s="6" t="s">
        <v>72</v>
      </c>
      <c r="G89" s="7" t="s">
        <v>73</v>
      </c>
      <c r="H89" s="7"/>
      <c r="I89" s="6" t="s">
        <v>1267</v>
      </c>
    </row>
    <row r="90" spans="1:9" x14ac:dyDescent="0.3">
      <c r="A90" s="33" t="s">
        <v>88</v>
      </c>
      <c r="B90" s="31" t="s">
        <v>89</v>
      </c>
      <c r="C90" s="11" t="str">
        <f t="shared" si="5"/>
        <v>Cliente 2345</v>
      </c>
      <c r="D90" s="1" t="str">
        <f t="shared" si="4"/>
        <v/>
      </c>
      <c r="F90" s="4" t="s">
        <v>74</v>
      </c>
      <c r="G90" s="5" t="s">
        <v>75</v>
      </c>
      <c r="H90" s="5"/>
      <c r="I90" s="6" t="s">
        <v>1267</v>
      </c>
    </row>
    <row r="91" spans="1:9" x14ac:dyDescent="0.3">
      <c r="A91" s="30" t="s">
        <v>90</v>
      </c>
      <c r="B91" s="32" t="s">
        <v>91</v>
      </c>
      <c r="C91" s="11" t="str">
        <f t="shared" si="5"/>
        <v>Cliente 24</v>
      </c>
      <c r="D91" s="1" t="str">
        <f t="shared" si="4"/>
        <v/>
      </c>
      <c r="F91" s="22" t="s">
        <v>943</v>
      </c>
      <c r="G91" s="22" t="s">
        <v>99</v>
      </c>
      <c r="H91" s="6"/>
      <c r="I91" s="6" t="s">
        <v>1267</v>
      </c>
    </row>
    <row r="92" spans="1:9" x14ac:dyDescent="0.3">
      <c r="A92" s="33" t="s">
        <v>92</v>
      </c>
      <c r="B92" s="31" t="s">
        <v>93</v>
      </c>
      <c r="C92" s="11" t="str">
        <f t="shared" si="5"/>
        <v>Cliente 25</v>
      </c>
      <c r="D92" s="1" t="str">
        <f t="shared" si="4"/>
        <v/>
      </c>
      <c r="F92" s="6" t="s">
        <v>76</v>
      </c>
      <c r="G92" s="7" t="s">
        <v>77</v>
      </c>
      <c r="H92" s="7"/>
      <c r="I92" s="6" t="s">
        <v>1267</v>
      </c>
    </row>
    <row r="93" spans="1:9" x14ac:dyDescent="0.3">
      <c r="A93" s="30" t="s">
        <v>94</v>
      </c>
      <c r="B93" s="32" t="s">
        <v>95</v>
      </c>
      <c r="C93" s="11" t="str">
        <f t="shared" si="5"/>
        <v>Cliente 26</v>
      </c>
      <c r="D93" s="1" t="str">
        <f t="shared" si="4"/>
        <v/>
      </c>
      <c r="F93" s="4" t="s">
        <v>78</v>
      </c>
      <c r="G93" s="5" t="s">
        <v>79</v>
      </c>
      <c r="H93" s="5"/>
      <c r="I93" s="6" t="s">
        <v>1267</v>
      </c>
    </row>
    <row r="94" spans="1:9" x14ac:dyDescent="0.3">
      <c r="A94" s="33" t="s">
        <v>96</v>
      </c>
      <c r="B94" s="31" t="s">
        <v>97</v>
      </c>
      <c r="C94" s="11" t="str">
        <f t="shared" si="5"/>
        <v>Cliente 27</v>
      </c>
      <c r="D94" s="1" t="str">
        <f t="shared" si="4"/>
        <v/>
      </c>
      <c r="F94" s="6" t="s">
        <v>80</v>
      </c>
      <c r="G94" s="7" t="s">
        <v>81</v>
      </c>
      <c r="H94" s="7"/>
      <c r="I94" s="6" t="s">
        <v>1267</v>
      </c>
    </row>
    <row r="95" spans="1:9" x14ac:dyDescent="0.3">
      <c r="A95" s="30" t="s">
        <v>100</v>
      </c>
      <c r="B95" s="32" t="s">
        <v>101</v>
      </c>
      <c r="C95" s="11" t="str">
        <f t="shared" si="5"/>
        <v>Cliente 29</v>
      </c>
      <c r="D95" s="1" t="str">
        <f t="shared" si="4"/>
        <v/>
      </c>
      <c r="F95" s="4" t="s">
        <v>82</v>
      </c>
      <c r="G95" s="5" t="s">
        <v>83</v>
      </c>
      <c r="H95" s="5"/>
      <c r="I95" s="6" t="s">
        <v>1267</v>
      </c>
    </row>
    <row r="96" spans="1:9" x14ac:dyDescent="0.3">
      <c r="A96" s="33" t="s">
        <v>104</v>
      </c>
      <c r="B96" s="31" t="s">
        <v>105</v>
      </c>
      <c r="C96" s="11" t="str">
        <f t="shared" si="5"/>
        <v>Cliente 31</v>
      </c>
      <c r="D96" s="1" t="str">
        <f t="shared" si="4"/>
        <v/>
      </c>
      <c r="F96" s="6" t="s">
        <v>84</v>
      </c>
      <c r="G96" s="7" t="s">
        <v>85</v>
      </c>
      <c r="H96" s="7"/>
      <c r="I96" s="6" t="s">
        <v>1267</v>
      </c>
    </row>
    <row r="97" spans="1:9" x14ac:dyDescent="0.3">
      <c r="A97" s="30" t="s">
        <v>106</v>
      </c>
      <c r="B97" s="32" t="s">
        <v>107</v>
      </c>
      <c r="C97" s="11" t="str">
        <f t="shared" si="5"/>
        <v>Cliente 33</v>
      </c>
      <c r="D97" s="1" t="str">
        <f t="shared" si="4"/>
        <v/>
      </c>
      <c r="F97" s="4" t="s">
        <v>86</v>
      </c>
      <c r="G97" s="5" t="s">
        <v>87</v>
      </c>
      <c r="H97" s="5"/>
      <c r="I97" s="6" t="s">
        <v>1267</v>
      </c>
    </row>
    <row r="98" spans="1:9" x14ac:dyDescent="0.3">
      <c r="A98" s="33" t="s">
        <v>110</v>
      </c>
      <c r="B98" s="31" t="s">
        <v>111</v>
      </c>
      <c r="C98" s="11" t="str">
        <f t="shared" si="5"/>
        <v>Cliente 40</v>
      </c>
      <c r="D98" s="1" t="str">
        <f t="shared" si="4"/>
        <v/>
      </c>
      <c r="F98" s="6" t="s">
        <v>88</v>
      </c>
      <c r="G98" s="7" t="s">
        <v>89</v>
      </c>
      <c r="H98" s="7"/>
      <c r="I98" s="6" t="s">
        <v>1267</v>
      </c>
    </row>
    <row r="99" spans="1:9" x14ac:dyDescent="0.3">
      <c r="A99" s="30" t="s">
        <v>113</v>
      </c>
      <c r="B99" s="32" t="s">
        <v>114</v>
      </c>
      <c r="C99" s="11" t="str">
        <f t="shared" si="5"/>
        <v>Cliente 42</v>
      </c>
      <c r="D99" s="1" t="str">
        <f t="shared" si="4"/>
        <v/>
      </c>
      <c r="F99" s="4" t="s">
        <v>90</v>
      </c>
      <c r="G99" s="5" t="s">
        <v>91</v>
      </c>
      <c r="H99" s="5"/>
      <c r="I99" s="6" t="s">
        <v>1267</v>
      </c>
    </row>
    <row r="100" spans="1:9" x14ac:dyDescent="0.3">
      <c r="A100" s="33" t="s">
        <v>115</v>
      </c>
      <c r="B100" s="31" t="s">
        <v>116</v>
      </c>
      <c r="C100" s="11" t="str">
        <f t="shared" si="5"/>
        <v>Cliente 43</v>
      </c>
      <c r="D100" s="1" t="str">
        <f t="shared" si="4"/>
        <v/>
      </c>
      <c r="F100" s="6" t="s">
        <v>92</v>
      </c>
      <c r="G100" s="7" t="s">
        <v>93</v>
      </c>
      <c r="H100" s="7"/>
      <c r="I100" s="6" t="s">
        <v>1267</v>
      </c>
    </row>
    <row r="101" spans="1:9" x14ac:dyDescent="0.3">
      <c r="A101" s="30" t="s">
        <v>117</v>
      </c>
      <c r="B101" s="32" t="s">
        <v>118</v>
      </c>
      <c r="C101" s="11" t="str">
        <f t="shared" si="5"/>
        <v>Cliente 45</v>
      </c>
      <c r="D101" s="1" t="str">
        <f t="shared" si="4"/>
        <v/>
      </c>
      <c r="F101" s="4" t="s">
        <v>94</v>
      </c>
      <c r="G101" s="5" t="s">
        <v>95</v>
      </c>
      <c r="H101" s="5"/>
      <c r="I101" s="6" t="s">
        <v>1267</v>
      </c>
    </row>
    <row r="102" spans="1:9" x14ac:dyDescent="0.3">
      <c r="A102" s="33" t="s">
        <v>119</v>
      </c>
      <c r="B102" s="31" t="s">
        <v>120</v>
      </c>
      <c r="D102" s="1"/>
      <c r="F102" s="6" t="s">
        <v>96</v>
      </c>
      <c r="G102" s="7" t="s">
        <v>97</v>
      </c>
      <c r="H102" s="7"/>
      <c r="I102" s="6" t="s">
        <v>1267</v>
      </c>
    </row>
    <row r="103" spans="1:9" x14ac:dyDescent="0.3">
      <c r="A103" s="30" t="s">
        <v>123</v>
      </c>
      <c r="B103" s="32" t="s">
        <v>124</v>
      </c>
      <c r="C103" s="11" t="str">
        <f t="shared" ref="C103:C120" si="6">IFERROR(VLOOKUP(A103,$F$4:$H$243,1,0),0)</f>
        <v>Cliente 48</v>
      </c>
      <c r="D103" s="1" t="str">
        <f t="shared" si="4"/>
        <v/>
      </c>
      <c r="F103" s="4" t="s">
        <v>98</v>
      </c>
      <c r="G103" s="5" t="s">
        <v>99</v>
      </c>
      <c r="H103" s="5"/>
      <c r="I103" s="6" t="s">
        <v>1267</v>
      </c>
    </row>
    <row r="104" spans="1:9" x14ac:dyDescent="0.3">
      <c r="A104" s="33" t="s">
        <v>125</v>
      </c>
      <c r="B104" s="31" t="s">
        <v>126</v>
      </c>
      <c r="C104" s="11" t="str">
        <f t="shared" si="6"/>
        <v>Cliente 50</v>
      </c>
      <c r="D104" s="1" t="str">
        <f t="shared" si="4"/>
        <v/>
      </c>
      <c r="F104" s="6" t="s">
        <v>100</v>
      </c>
      <c r="G104" s="7" t="s">
        <v>101</v>
      </c>
      <c r="H104" s="7"/>
      <c r="I104" s="6" t="s">
        <v>1267</v>
      </c>
    </row>
    <row r="105" spans="1:9" x14ac:dyDescent="0.3">
      <c r="A105" s="30" t="s">
        <v>127</v>
      </c>
      <c r="B105" s="32" t="s">
        <v>128</v>
      </c>
      <c r="C105" s="11" t="str">
        <f t="shared" si="6"/>
        <v>Cliente 51</v>
      </c>
      <c r="D105" s="1" t="str">
        <f t="shared" si="4"/>
        <v/>
      </c>
      <c r="F105" s="4" t="s">
        <v>102</v>
      </c>
      <c r="G105" s="5" t="s">
        <v>103</v>
      </c>
      <c r="H105" s="5"/>
      <c r="I105" s="6" t="s">
        <v>1267</v>
      </c>
    </row>
    <row r="106" spans="1:9" x14ac:dyDescent="0.3">
      <c r="A106" s="33" t="s">
        <v>131</v>
      </c>
      <c r="B106" s="31" t="s">
        <v>132</v>
      </c>
      <c r="C106" s="11" t="str">
        <f t="shared" si="6"/>
        <v>cliente 88</v>
      </c>
      <c r="D106" s="1" t="str">
        <f t="shared" si="4"/>
        <v/>
      </c>
      <c r="F106" s="6" t="s">
        <v>104</v>
      </c>
      <c r="G106" s="7" t="s">
        <v>105</v>
      </c>
      <c r="H106" s="7"/>
      <c r="I106" s="6" t="s">
        <v>1267</v>
      </c>
    </row>
    <row r="107" spans="1:9" x14ac:dyDescent="0.3">
      <c r="A107" s="30" t="s">
        <v>944</v>
      </c>
      <c r="B107" s="32" t="s">
        <v>945</v>
      </c>
      <c r="C107" s="11" t="str">
        <f t="shared" si="6"/>
        <v>Cliente Boletos</v>
      </c>
      <c r="D107" s="1" t="str">
        <f t="shared" si="4"/>
        <v/>
      </c>
      <c r="F107" s="4" t="s">
        <v>106</v>
      </c>
      <c r="G107" s="5" t="s">
        <v>107</v>
      </c>
      <c r="H107" s="5"/>
      <c r="I107" s="6" t="s">
        <v>1267</v>
      </c>
    </row>
    <row r="108" spans="1:9" x14ac:dyDescent="0.3">
      <c r="A108" s="33" t="s">
        <v>135</v>
      </c>
      <c r="B108" s="31" t="s">
        <v>136</v>
      </c>
      <c r="C108" s="11" t="str">
        <f t="shared" si="6"/>
        <v>Cliente Buca</v>
      </c>
      <c r="D108" s="1" t="str">
        <f t="shared" si="4"/>
        <v/>
      </c>
      <c r="F108" s="6" t="s">
        <v>108</v>
      </c>
      <c r="G108" s="7" t="s">
        <v>109</v>
      </c>
      <c r="H108" s="7"/>
      <c r="I108" s="6" t="s">
        <v>1267</v>
      </c>
    </row>
    <row r="109" spans="1:9" x14ac:dyDescent="0.3">
      <c r="A109" s="30" t="s">
        <v>137</v>
      </c>
      <c r="B109" s="32" t="s">
        <v>138</v>
      </c>
      <c r="C109" s="11" t="str">
        <f t="shared" si="6"/>
        <v>Cliente Chile</v>
      </c>
      <c r="D109" s="1" t="str">
        <f t="shared" si="4"/>
        <v/>
      </c>
      <c r="F109" s="4" t="s">
        <v>110</v>
      </c>
      <c r="G109" s="5" t="s">
        <v>111</v>
      </c>
      <c r="H109" s="5"/>
      <c r="I109" s="6" t="s">
        <v>1267</v>
      </c>
    </row>
    <row r="110" spans="1:9" x14ac:dyDescent="0.3">
      <c r="A110" s="33" t="s">
        <v>139</v>
      </c>
      <c r="B110" s="31" t="s">
        <v>140</v>
      </c>
      <c r="C110" s="11" t="str">
        <f t="shared" si="6"/>
        <v>Cliente  Defensa Civil Cuchara</v>
      </c>
      <c r="D110" s="1" t="str">
        <f t="shared" si="4"/>
        <v/>
      </c>
      <c r="F110" s="6" t="s">
        <v>112</v>
      </c>
      <c r="G110" s="7" t="s">
        <v>454</v>
      </c>
      <c r="H110" s="7"/>
      <c r="I110" s="6" t="s">
        <v>1267</v>
      </c>
    </row>
    <row r="111" spans="1:9" x14ac:dyDescent="0.3">
      <c r="A111" s="30" t="s">
        <v>141</v>
      </c>
      <c r="B111" s="32" t="s">
        <v>142</v>
      </c>
      <c r="C111" s="11" t="str">
        <f t="shared" si="6"/>
        <v>Cliente Doña Piedad Paulina</v>
      </c>
      <c r="D111" s="1" t="str">
        <f t="shared" si="4"/>
        <v/>
      </c>
      <c r="F111" s="4" t="s">
        <v>112</v>
      </c>
      <c r="G111" s="5" t="s">
        <v>455</v>
      </c>
      <c r="H111" s="5"/>
      <c r="I111" s="6" t="s">
        <v>1267</v>
      </c>
    </row>
    <row r="112" spans="1:9" x14ac:dyDescent="0.3">
      <c r="A112" s="33" t="s">
        <v>143</v>
      </c>
      <c r="B112" s="31" t="s">
        <v>144</v>
      </c>
      <c r="C112" s="11" t="str">
        <f t="shared" si="6"/>
        <v>Cliente Dr Pedro Lalangi</v>
      </c>
      <c r="D112" s="1" t="str">
        <f t="shared" si="4"/>
        <v/>
      </c>
      <c r="F112" s="6" t="s">
        <v>113</v>
      </c>
      <c r="G112" s="7" t="s">
        <v>114</v>
      </c>
      <c r="H112" s="7"/>
      <c r="I112" s="6" t="s">
        <v>1267</v>
      </c>
    </row>
    <row r="113" spans="1:9" x14ac:dyDescent="0.3">
      <c r="A113" s="30" t="s">
        <v>568</v>
      </c>
      <c r="B113" s="32" t="s">
        <v>145</v>
      </c>
      <c r="C113" s="11" t="str">
        <f t="shared" si="6"/>
        <v>Cliente Edgar Bustamante</v>
      </c>
      <c r="D113" s="1" t="str">
        <f t="shared" si="4"/>
        <v/>
      </c>
      <c r="F113" s="4" t="s">
        <v>115</v>
      </c>
      <c r="G113" s="5" t="s">
        <v>116</v>
      </c>
      <c r="H113" s="5"/>
      <c r="I113" s="6" t="s">
        <v>1267</v>
      </c>
    </row>
    <row r="114" spans="1:9" x14ac:dyDescent="0.3">
      <c r="A114" s="33" t="s">
        <v>146</v>
      </c>
      <c r="B114" s="31" t="s">
        <v>147</v>
      </c>
      <c r="C114" s="11" t="str">
        <f t="shared" si="6"/>
        <v>Cliente Frente Del Seguro</v>
      </c>
      <c r="D114" s="1" t="str">
        <f t="shared" si="4"/>
        <v/>
      </c>
      <c r="F114" s="6" t="s">
        <v>117</v>
      </c>
      <c r="G114" s="7" t="s">
        <v>118</v>
      </c>
      <c r="H114" s="7"/>
      <c r="I114" s="6" t="s">
        <v>1267</v>
      </c>
    </row>
    <row r="115" spans="1:9" x14ac:dyDescent="0.3">
      <c r="A115" s="30" t="s">
        <v>569</v>
      </c>
      <c r="B115" s="32" t="s">
        <v>148</v>
      </c>
      <c r="C115" s="11" t="str">
        <f t="shared" si="6"/>
        <v>Cliente Jorge Jaramillo</v>
      </c>
      <c r="D115" s="1" t="str">
        <f t="shared" si="4"/>
        <v/>
      </c>
      <c r="F115" s="4" t="s">
        <v>119</v>
      </c>
      <c r="G115" s="5" t="s">
        <v>120</v>
      </c>
      <c r="H115" s="5"/>
      <c r="I115" s="6" t="s">
        <v>1267</v>
      </c>
    </row>
    <row r="116" spans="1:9" x14ac:dyDescent="0.3">
      <c r="A116" s="33" t="s">
        <v>149</v>
      </c>
      <c r="B116" s="31" t="s">
        <v>150</v>
      </c>
      <c r="C116" s="11" t="str">
        <f t="shared" si="6"/>
        <v>Cliente Madrugadora</v>
      </c>
      <c r="D116" s="1" t="str">
        <f t="shared" si="4"/>
        <v/>
      </c>
      <c r="F116" s="6" t="s">
        <v>121</v>
      </c>
      <c r="G116" s="7" t="s">
        <v>122</v>
      </c>
      <c r="H116" s="7"/>
      <c r="I116" s="6" t="s">
        <v>1267</v>
      </c>
    </row>
    <row r="117" spans="1:9" x14ac:dyDescent="0.3">
      <c r="A117" s="30" t="s">
        <v>151</v>
      </c>
      <c r="B117" s="32" t="s">
        <v>152</v>
      </c>
      <c r="C117" s="11" t="str">
        <f t="shared" si="6"/>
        <v>Cliente Melida Jumbo</v>
      </c>
      <c r="D117" s="1" t="str">
        <f t="shared" si="4"/>
        <v/>
      </c>
      <c r="F117" s="4" t="s">
        <v>123</v>
      </c>
      <c r="G117" s="5" t="s">
        <v>124</v>
      </c>
      <c r="H117" s="5"/>
      <c r="I117" s="6" t="s">
        <v>1267</v>
      </c>
    </row>
    <row r="118" spans="1:9" x14ac:dyDescent="0.3">
      <c r="A118" s="33" t="s">
        <v>153</v>
      </c>
      <c r="B118" s="31" t="s">
        <v>154</v>
      </c>
      <c r="C118" s="11" t="str">
        <f t="shared" si="6"/>
        <v>Cliente Panadería</v>
      </c>
      <c r="D118" s="1" t="str">
        <f t="shared" si="4"/>
        <v/>
      </c>
      <c r="F118" s="6" t="s">
        <v>125</v>
      </c>
      <c r="G118" s="7" t="s">
        <v>126</v>
      </c>
      <c r="H118" s="7"/>
      <c r="I118" s="6" t="s">
        <v>1267</v>
      </c>
    </row>
    <row r="119" spans="1:9" x14ac:dyDescent="0.3">
      <c r="A119" s="30" t="s">
        <v>155</v>
      </c>
      <c r="B119" s="32" t="s">
        <v>156</v>
      </c>
      <c r="C119" s="11" t="str">
        <f t="shared" si="6"/>
        <v>Cliente Sanmarti</v>
      </c>
      <c r="D119" s="1" t="str">
        <f t="shared" si="4"/>
        <v/>
      </c>
      <c r="F119" s="4" t="s">
        <v>127</v>
      </c>
      <c r="G119" s="5" t="s">
        <v>128</v>
      </c>
      <c r="H119" s="5"/>
      <c r="I119" s="6" t="s">
        <v>1267</v>
      </c>
    </row>
    <row r="120" spans="1:9" x14ac:dyDescent="0.3">
      <c r="A120" s="33" t="s">
        <v>157</v>
      </c>
      <c r="B120" s="31" t="s">
        <v>158</v>
      </c>
      <c r="C120" s="11" t="str">
        <f t="shared" si="6"/>
        <v>Cliente Susana</v>
      </c>
      <c r="D120" s="1" t="str">
        <f t="shared" si="4"/>
        <v/>
      </c>
      <c r="F120" s="6" t="s">
        <v>129</v>
      </c>
      <c r="G120" s="7" t="s">
        <v>130</v>
      </c>
      <c r="H120" s="7"/>
      <c r="I120" s="6" t="s">
        <v>1267</v>
      </c>
    </row>
    <row r="121" spans="1:9" x14ac:dyDescent="0.3">
      <c r="A121" s="30" t="s">
        <v>159</v>
      </c>
      <c r="B121" s="32" t="s">
        <v>160</v>
      </c>
      <c r="D121" s="1"/>
      <c r="F121" s="4" t="s">
        <v>131</v>
      </c>
      <c r="G121" s="5" t="s">
        <v>132</v>
      </c>
      <c r="H121" s="5"/>
      <c r="I121" s="6" t="s">
        <v>1267</v>
      </c>
    </row>
    <row r="122" spans="1:9" x14ac:dyDescent="0.3">
      <c r="A122" s="33" t="s">
        <v>161</v>
      </c>
      <c r="B122" s="31" t="s">
        <v>162</v>
      </c>
      <c r="C122" s="11" t="str">
        <f>IFERROR(VLOOKUP(A122,$F$4:$H$243,1,0),0)</f>
        <v>Cliente Zhamungu</v>
      </c>
      <c r="D122" s="1" t="str">
        <f t="shared" si="4"/>
        <v/>
      </c>
      <c r="F122" s="6" t="s">
        <v>133</v>
      </c>
      <c r="G122" s="7" t="s">
        <v>134</v>
      </c>
      <c r="H122" s="7"/>
      <c r="I122" s="6" t="s">
        <v>1267</v>
      </c>
    </row>
    <row r="123" spans="1:9" x14ac:dyDescent="0.3">
      <c r="A123" s="30" t="s">
        <v>163</v>
      </c>
      <c r="B123" s="32" t="s">
        <v>164</v>
      </c>
      <c r="C123" s="11" t="str">
        <f>IFERROR(VLOOKUP(A123,$F$4:$H$243,1,0),0)</f>
        <v>Cliente15</v>
      </c>
      <c r="D123" s="1" t="str">
        <f t="shared" si="4"/>
        <v/>
      </c>
      <c r="F123" s="22" t="s">
        <v>944</v>
      </c>
      <c r="G123" s="22" t="s">
        <v>945</v>
      </c>
      <c r="H123" s="6"/>
      <c r="I123" s="6" t="s">
        <v>1267</v>
      </c>
    </row>
    <row r="124" spans="1:9" x14ac:dyDescent="0.3">
      <c r="A124" s="33" t="s">
        <v>165</v>
      </c>
      <c r="B124" s="31" t="s">
        <v>166</v>
      </c>
      <c r="C124" s="11" t="str">
        <f>IFERROR(VLOOKUP(A124,$F$4:$H$243,1,0),0)</f>
        <v>Cristian Calero</v>
      </c>
      <c r="D124" s="1" t="str">
        <f t="shared" si="4"/>
        <v/>
      </c>
      <c r="F124" s="4" t="s">
        <v>135</v>
      </c>
      <c r="G124" s="5" t="s">
        <v>136</v>
      </c>
      <c r="H124" s="5" t="s">
        <v>476</v>
      </c>
      <c r="I124" s="6" t="s">
        <v>1257</v>
      </c>
    </row>
    <row r="125" spans="1:9" x14ac:dyDescent="0.3">
      <c r="A125" s="30" t="s">
        <v>946</v>
      </c>
      <c r="B125" s="32" t="s">
        <v>947</v>
      </c>
      <c r="C125" s="11" t="str">
        <f>IFERROR(VLOOKUP(A125,$F$4:$H$243,1,0),0)</f>
        <v>Cristian Martinez</v>
      </c>
      <c r="D125" s="1" t="str">
        <f t="shared" si="4"/>
        <v/>
      </c>
      <c r="F125" s="6" t="s">
        <v>137</v>
      </c>
      <c r="G125" s="7" t="s">
        <v>138</v>
      </c>
      <c r="H125" s="7" t="s">
        <v>477</v>
      </c>
      <c r="I125" s="6" t="s">
        <v>1256</v>
      </c>
    </row>
    <row r="126" spans="1:9" x14ac:dyDescent="0.3">
      <c r="A126" s="33" t="s">
        <v>167</v>
      </c>
      <c r="B126" s="31" t="s">
        <v>168</v>
      </c>
      <c r="C126" s="11" t="str">
        <f>IFERROR(VLOOKUP(A126,$F$4:$H$243,1,0),0)</f>
        <v>Cuartel Rancho</v>
      </c>
      <c r="D126" s="1" t="str">
        <f t="shared" si="4"/>
        <v/>
      </c>
      <c r="F126" s="4" t="s">
        <v>141</v>
      </c>
      <c r="G126" s="5" t="s">
        <v>142</v>
      </c>
      <c r="H126" s="5" t="s">
        <v>478</v>
      </c>
      <c r="I126" s="6" t="s">
        <v>1255</v>
      </c>
    </row>
    <row r="127" spans="1:9" x14ac:dyDescent="0.3">
      <c r="A127" s="30" t="s">
        <v>1329</v>
      </c>
      <c r="B127" s="32" t="s">
        <v>1330</v>
      </c>
      <c r="D127" s="1"/>
      <c r="F127" s="6" t="s">
        <v>143</v>
      </c>
      <c r="G127" s="7" t="s">
        <v>144</v>
      </c>
      <c r="H127" s="7" t="s">
        <v>479</v>
      </c>
      <c r="I127" s="6" t="s">
        <v>1261</v>
      </c>
    </row>
    <row r="128" spans="1:9" x14ac:dyDescent="0.3">
      <c r="A128" s="33" t="s">
        <v>948</v>
      </c>
      <c r="B128" s="31" t="s">
        <v>949</v>
      </c>
      <c r="C128" s="11" t="str">
        <f>IFERROR(VLOOKUP(A128,$F$4:$H$243,1,0),0)</f>
        <v>Danna Paola Alvear</v>
      </c>
      <c r="D128" s="1" t="str">
        <f t="shared" si="4"/>
        <v/>
      </c>
      <c r="F128" s="6" t="s">
        <v>568</v>
      </c>
      <c r="G128" s="12" t="s">
        <v>145</v>
      </c>
      <c r="H128" s="6"/>
      <c r="I128" s="6" t="s">
        <v>1258</v>
      </c>
    </row>
    <row r="129" spans="1:9" x14ac:dyDescent="0.3">
      <c r="A129" s="30" t="s">
        <v>169</v>
      </c>
      <c r="B129" s="32" t="s">
        <v>170</v>
      </c>
      <c r="C129" s="11" t="str">
        <f>IFERROR(VLOOKUP(A129,$F$4:$H$243,1,0),0)</f>
        <v>Danny Órdoñez</v>
      </c>
      <c r="D129" s="1" t="str">
        <f t="shared" si="4"/>
        <v/>
      </c>
      <c r="F129" s="4" t="s">
        <v>146</v>
      </c>
      <c r="G129" s="5" t="s">
        <v>147</v>
      </c>
      <c r="H129" s="5"/>
      <c r="I129" s="6" t="s">
        <v>1258</v>
      </c>
    </row>
    <row r="130" spans="1:9" x14ac:dyDescent="0.3">
      <c r="A130" s="33" t="s">
        <v>1331</v>
      </c>
      <c r="B130" s="31" t="s">
        <v>1106</v>
      </c>
      <c r="C130" s="11" t="str">
        <f>IFERROR(VLOOKUP(A130,$F$4:$H$243,1,0),0)</f>
        <v>Darwin Rey</v>
      </c>
      <c r="D130" s="1" t="str">
        <f t="shared" si="4"/>
        <v/>
      </c>
      <c r="F130" s="6" t="s">
        <v>569</v>
      </c>
      <c r="G130" s="12" t="s">
        <v>1219</v>
      </c>
      <c r="H130" s="6" t="s">
        <v>1220</v>
      </c>
      <c r="I130" s="6" t="s">
        <v>1258</v>
      </c>
    </row>
    <row r="131" spans="1:9" x14ac:dyDescent="0.3">
      <c r="A131" s="30" t="s">
        <v>171</v>
      </c>
      <c r="B131" s="32" t="s">
        <v>172</v>
      </c>
      <c r="C131" s="11" t="str">
        <f>IFERROR(VLOOKUP(A131,$F$4:$H$243,1,0),0)</f>
        <v>Darwin Rey sexo</v>
      </c>
      <c r="D131" s="1" t="str">
        <f t="shared" ref="D131:D191" si="7">IF(C131=0,"Cliente Nuevo","")</f>
        <v/>
      </c>
      <c r="F131" s="6" t="s">
        <v>149</v>
      </c>
      <c r="G131" s="7" t="s">
        <v>150</v>
      </c>
      <c r="H131" s="7"/>
      <c r="I131" s="6" t="s">
        <v>1267</v>
      </c>
    </row>
    <row r="132" spans="1:9" x14ac:dyDescent="0.3">
      <c r="A132" s="33" t="s">
        <v>950</v>
      </c>
      <c r="B132" s="31" t="s">
        <v>951</v>
      </c>
      <c r="D132" s="1"/>
      <c r="F132" s="4" t="s">
        <v>151</v>
      </c>
      <c r="G132" s="5" t="s">
        <v>152</v>
      </c>
      <c r="H132" s="5"/>
      <c r="I132" s="6" t="s">
        <v>1267</v>
      </c>
    </row>
    <row r="133" spans="1:9" x14ac:dyDescent="0.3">
      <c r="A133" s="30" t="s">
        <v>173</v>
      </c>
      <c r="B133" s="32" t="s">
        <v>174</v>
      </c>
      <c r="C133" s="11" t="str">
        <f t="shared" ref="C133:C164" si="8">IFERROR(VLOOKUP(A133,$F$4:$H$243,1,0),0)</f>
        <v>Darwin Shigcha</v>
      </c>
      <c r="D133" s="1" t="str">
        <f t="shared" si="7"/>
        <v/>
      </c>
      <c r="F133" s="6" t="s">
        <v>153</v>
      </c>
      <c r="G133" s="7" t="s">
        <v>154</v>
      </c>
      <c r="H133" s="7" t="s">
        <v>480</v>
      </c>
      <c r="I133" s="6" t="s">
        <v>1260</v>
      </c>
    </row>
    <row r="134" spans="1:9" x14ac:dyDescent="0.3">
      <c r="A134" s="33" t="s">
        <v>175</v>
      </c>
      <c r="B134" s="31" t="s">
        <v>176</v>
      </c>
      <c r="C134" s="11" t="str">
        <f t="shared" si="8"/>
        <v>David Jumbo</v>
      </c>
      <c r="D134" s="1" t="str">
        <f t="shared" si="7"/>
        <v/>
      </c>
      <c r="F134" s="4" t="s">
        <v>155</v>
      </c>
      <c r="G134" s="5" t="s">
        <v>156</v>
      </c>
      <c r="H134" s="5" t="s">
        <v>481</v>
      </c>
      <c r="I134" s="6" t="s">
        <v>1257</v>
      </c>
    </row>
    <row r="135" spans="1:9" x14ac:dyDescent="0.3">
      <c r="A135" s="30" t="s">
        <v>952</v>
      </c>
      <c r="B135" s="32" t="s">
        <v>953</v>
      </c>
      <c r="C135" s="11" t="str">
        <f t="shared" si="8"/>
        <v>Diana Jumbo Algarrobillo</v>
      </c>
      <c r="D135" s="1" t="str">
        <f t="shared" si="7"/>
        <v/>
      </c>
      <c r="F135" s="6" t="s">
        <v>157</v>
      </c>
      <c r="G135" s="7" t="s">
        <v>158</v>
      </c>
      <c r="H135" s="7"/>
      <c r="I135" s="6" t="s">
        <v>1267</v>
      </c>
    </row>
    <row r="136" spans="1:9" x14ac:dyDescent="0.3">
      <c r="A136" s="33" t="s">
        <v>954</v>
      </c>
      <c r="B136" s="31" t="s">
        <v>955</v>
      </c>
      <c r="C136" s="11" t="str">
        <f t="shared" si="8"/>
        <v>Diana Torres Granda</v>
      </c>
      <c r="D136" s="1" t="str">
        <f t="shared" si="7"/>
        <v/>
      </c>
      <c r="F136" s="4" t="s">
        <v>159</v>
      </c>
      <c r="G136" s="5" t="s">
        <v>160</v>
      </c>
      <c r="H136" s="5" t="s">
        <v>525</v>
      </c>
      <c r="I136" s="6" t="s">
        <v>1257</v>
      </c>
    </row>
    <row r="137" spans="1:9" x14ac:dyDescent="0.3">
      <c r="A137" s="30" t="s">
        <v>177</v>
      </c>
      <c r="B137" s="32" t="s">
        <v>178</v>
      </c>
      <c r="C137" s="11" t="str">
        <f t="shared" si="8"/>
        <v>Dianita Ortiz</v>
      </c>
      <c r="D137" s="1" t="str">
        <f t="shared" si="7"/>
        <v/>
      </c>
      <c r="F137" s="6" t="s">
        <v>161</v>
      </c>
      <c r="G137" s="7" t="s">
        <v>162</v>
      </c>
      <c r="H137" s="7"/>
      <c r="I137" s="6" t="s">
        <v>1261</v>
      </c>
    </row>
    <row r="138" spans="1:9" x14ac:dyDescent="0.3">
      <c r="A138" s="33" t="s">
        <v>570</v>
      </c>
      <c r="B138" s="31" t="s">
        <v>571</v>
      </c>
      <c r="C138" s="11" t="str">
        <f t="shared" si="8"/>
        <v>Diego Ramirez</v>
      </c>
      <c r="D138" s="1" t="str">
        <f t="shared" si="7"/>
        <v/>
      </c>
      <c r="F138" s="4" t="s">
        <v>163</v>
      </c>
      <c r="G138" s="5" t="s">
        <v>164</v>
      </c>
      <c r="H138" s="5"/>
      <c r="I138" s="6" t="s">
        <v>1267</v>
      </c>
    </row>
    <row r="139" spans="1:9" x14ac:dyDescent="0.3">
      <c r="A139" s="30" t="s">
        <v>956</v>
      </c>
      <c r="B139" s="32" t="s">
        <v>957</v>
      </c>
      <c r="C139" s="11" t="str">
        <f t="shared" si="8"/>
        <v>Diego Ramon</v>
      </c>
      <c r="D139" s="1" t="str">
        <f t="shared" si="7"/>
        <v/>
      </c>
      <c r="F139" s="6" t="s">
        <v>165</v>
      </c>
      <c r="G139" s="7" t="s">
        <v>166</v>
      </c>
      <c r="H139" s="7"/>
      <c r="I139" s="6" t="s">
        <v>1267</v>
      </c>
    </row>
    <row r="140" spans="1:9" x14ac:dyDescent="0.3">
      <c r="A140" s="33" t="s">
        <v>179</v>
      </c>
      <c r="B140" s="31" t="s">
        <v>180</v>
      </c>
      <c r="C140" s="11" t="str">
        <f t="shared" si="8"/>
        <v>Dispensadores</v>
      </c>
      <c r="D140" s="1" t="str">
        <f t="shared" si="7"/>
        <v/>
      </c>
      <c r="F140" s="22" t="s">
        <v>946</v>
      </c>
      <c r="G140" s="22" t="s">
        <v>947</v>
      </c>
      <c r="H140" s="6"/>
      <c r="I140" s="6" t="s">
        <v>1254</v>
      </c>
    </row>
    <row r="141" spans="1:9" x14ac:dyDescent="0.3">
      <c r="A141" s="30" t="s">
        <v>958</v>
      </c>
      <c r="B141" s="32" t="s">
        <v>959</v>
      </c>
      <c r="C141" s="11" t="str">
        <f t="shared" si="8"/>
        <v>Dolores Cabrera</v>
      </c>
      <c r="D141" s="1" t="str">
        <f t="shared" si="7"/>
        <v/>
      </c>
      <c r="F141" s="4" t="s">
        <v>167</v>
      </c>
      <c r="G141" s="5" t="s">
        <v>168</v>
      </c>
      <c r="H141" s="5" t="s">
        <v>526</v>
      </c>
      <c r="I141" s="6" t="s">
        <v>1267</v>
      </c>
    </row>
    <row r="142" spans="1:9" x14ac:dyDescent="0.3">
      <c r="A142" s="33" t="s">
        <v>572</v>
      </c>
      <c r="B142" s="31" t="s">
        <v>960</v>
      </c>
      <c r="C142" s="11" t="str">
        <f t="shared" si="8"/>
        <v>Don Bolivar</v>
      </c>
      <c r="D142" s="1" t="str">
        <f t="shared" si="7"/>
        <v/>
      </c>
      <c r="F142" s="22" t="s">
        <v>948</v>
      </c>
      <c r="G142" s="22" t="s">
        <v>949</v>
      </c>
      <c r="H142" s="6"/>
      <c r="I142" s="6" t="s">
        <v>1267</v>
      </c>
    </row>
    <row r="143" spans="1:9" x14ac:dyDescent="0.3">
      <c r="A143" s="30" t="s">
        <v>181</v>
      </c>
      <c r="B143" s="32" t="s">
        <v>182</v>
      </c>
      <c r="C143" s="11" t="str">
        <f t="shared" si="8"/>
        <v>Don Busta</v>
      </c>
      <c r="D143" s="1" t="str">
        <f t="shared" si="7"/>
        <v/>
      </c>
      <c r="F143" s="6" t="s">
        <v>169</v>
      </c>
      <c r="G143" s="7" t="s">
        <v>170</v>
      </c>
      <c r="H143" s="7"/>
      <c r="I143" s="6" t="s">
        <v>1267</v>
      </c>
    </row>
    <row r="144" spans="1:9" x14ac:dyDescent="0.3">
      <c r="A144" s="33" t="s">
        <v>961</v>
      </c>
      <c r="B144" s="31" t="s">
        <v>962</v>
      </c>
      <c r="C144" s="11" t="str">
        <f t="shared" si="8"/>
        <v>Don Delgado</v>
      </c>
      <c r="D144" s="1" t="str">
        <f t="shared" si="7"/>
        <v/>
      </c>
      <c r="F144" s="6" t="s">
        <v>1331</v>
      </c>
      <c r="G144" s="6" t="s">
        <v>1106</v>
      </c>
      <c r="H144" s="6" t="s">
        <v>1503</v>
      </c>
      <c r="I144" s="6" t="s">
        <v>1258</v>
      </c>
    </row>
    <row r="145" spans="1:9" x14ac:dyDescent="0.3">
      <c r="A145" s="30" t="s">
        <v>1332</v>
      </c>
      <c r="B145" s="32" t="s">
        <v>1333</v>
      </c>
      <c r="C145" s="11" t="str">
        <f t="shared" si="8"/>
        <v>Don Eras</v>
      </c>
      <c r="D145" s="1" t="str">
        <f t="shared" si="7"/>
        <v/>
      </c>
      <c r="F145" s="4" t="s">
        <v>171</v>
      </c>
      <c r="G145" s="5" t="s">
        <v>172</v>
      </c>
      <c r="H145" s="5" t="s">
        <v>1502</v>
      </c>
      <c r="I145" s="6" t="s">
        <v>1268</v>
      </c>
    </row>
    <row r="146" spans="1:9" x14ac:dyDescent="0.3">
      <c r="A146" s="33" t="s">
        <v>183</v>
      </c>
      <c r="B146" s="31" t="s">
        <v>184</v>
      </c>
      <c r="C146" s="11" t="str">
        <f t="shared" si="8"/>
        <v>Don Mena</v>
      </c>
      <c r="D146" s="1" t="str">
        <f t="shared" si="7"/>
        <v/>
      </c>
      <c r="F146" s="6" t="s">
        <v>950</v>
      </c>
      <c r="G146" s="6" t="s">
        <v>951</v>
      </c>
      <c r="H146" s="6" t="s">
        <v>1502</v>
      </c>
      <c r="I146" s="6" t="s">
        <v>1268</v>
      </c>
    </row>
    <row r="147" spans="1:9" x14ac:dyDescent="0.3">
      <c r="A147" s="30" t="s">
        <v>185</v>
      </c>
      <c r="B147" s="32" t="s">
        <v>186</v>
      </c>
      <c r="C147" s="11" t="str">
        <f t="shared" si="8"/>
        <v>Don Toño</v>
      </c>
      <c r="D147" s="1" t="str">
        <f t="shared" si="7"/>
        <v/>
      </c>
      <c r="F147" s="6" t="s">
        <v>173</v>
      </c>
      <c r="G147" s="7" t="s">
        <v>174</v>
      </c>
      <c r="H147" s="7"/>
      <c r="I147" s="6" t="s">
        <v>1267</v>
      </c>
    </row>
    <row r="148" spans="1:9" x14ac:dyDescent="0.3">
      <c r="A148" s="33" t="s">
        <v>187</v>
      </c>
      <c r="B148" s="31" t="s">
        <v>188</v>
      </c>
      <c r="C148" s="11" t="str">
        <f t="shared" si="8"/>
        <v>Dra Patty</v>
      </c>
      <c r="D148" s="1" t="str">
        <f t="shared" si="7"/>
        <v/>
      </c>
      <c r="F148" s="4" t="s">
        <v>175</v>
      </c>
      <c r="G148" s="5" t="s">
        <v>176</v>
      </c>
      <c r="H148" s="5"/>
      <c r="I148" s="6" t="s">
        <v>1267</v>
      </c>
    </row>
    <row r="149" spans="1:9" x14ac:dyDescent="0.3">
      <c r="A149" s="30" t="s">
        <v>963</v>
      </c>
      <c r="B149" s="32" t="s">
        <v>964</v>
      </c>
      <c r="C149" s="11" t="str">
        <f t="shared" si="8"/>
        <v>Dra Raquel Panchana</v>
      </c>
      <c r="D149" s="1" t="str">
        <f t="shared" si="7"/>
        <v/>
      </c>
      <c r="F149" s="22" t="s">
        <v>952</v>
      </c>
      <c r="G149" s="22" t="s">
        <v>953</v>
      </c>
      <c r="H149" s="6"/>
      <c r="I149" s="6" t="s">
        <v>1267</v>
      </c>
    </row>
    <row r="150" spans="1:9" x14ac:dyDescent="0.3">
      <c r="A150" s="33" t="s">
        <v>965</v>
      </c>
      <c r="B150" s="31" t="s">
        <v>966</v>
      </c>
      <c r="C150" s="11" t="str">
        <f t="shared" si="8"/>
        <v>Eddy Rodriguez</v>
      </c>
      <c r="D150" s="1" t="str">
        <f t="shared" si="7"/>
        <v/>
      </c>
      <c r="F150" s="6" t="s">
        <v>954</v>
      </c>
      <c r="G150" s="6" t="s">
        <v>955</v>
      </c>
      <c r="H150" s="6"/>
      <c r="I150" s="6" t="s">
        <v>1267</v>
      </c>
    </row>
    <row r="151" spans="1:9" x14ac:dyDescent="0.3">
      <c r="A151" s="30" t="s">
        <v>967</v>
      </c>
      <c r="B151" s="32" t="s">
        <v>109</v>
      </c>
      <c r="C151" s="11" t="str">
        <f t="shared" si="8"/>
        <v>Edgar Campoverde</v>
      </c>
      <c r="D151" s="1" t="str">
        <f t="shared" si="7"/>
        <v/>
      </c>
      <c r="F151" s="6" t="s">
        <v>177</v>
      </c>
      <c r="G151" s="7" t="s">
        <v>178</v>
      </c>
      <c r="H151" s="7"/>
      <c r="I151" s="6" t="s">
        <v>1258</v>
      </c>
    </row>
    <row r="152" spans="1:9" x14ac:dyDescent="0.3">
      <c r="A152" s="33" t="s">
        <v>1334</v>
      </c>
      <c r="B152" s="31" t="s">
        <v>1335</v>
      </c>
      <c r="C152" s="11" t="str">
        <f t="shared" si="8"/>
        <v>Edgar Yaguachi</v>
      </c>
      <c r="D152" s="1" t="str">
        <f t="shared" si="7"/>
        <v/>
      </c>
      <c r="F152" s="6" t="s">
        <v>570</v>
      </c>
      <c r="G152" s="12" t="s">
        <v>571</v>
      </c>
      <c r="H152" s="6" t="s">
        <v>1504</v>
      </c>
      <c r="I152" s="6" t="s">
        <v>1254</v>
      </c>
    </row>
    <row r="153" spans="1:9" x14ac:dyDescent="0.3">
      <c r="A153" s="30" t="s">
        <v>189</v>
      </c>
      <c r="B153" s="32" t="s">
        <v>190</v>
      </c>
      <c r="C153" s="11" t="str">
        <f t="shared" si="8"/>
        <v>Eduardo Malla</v>
      </c>
      <c r="D153" s="1" t="str">
        <f t="shared" si="7"/>
        <v/>
      </c>
      <c r="F153" s="22" t="s">
        <v>956</v>
      </c>
      <c r="G153" s="22" t="s">
        <v>957</v>
      </c>
      <c r="H153" s="6" t="s">
        <v>1221</v>
      </c>
      <c r="I153" s="6" t="s">
        <v>1267</v>
      </c>
    </row>
    <row r="154" spans="1:9" x14ac:dyDescent="0.3">
      <c r="A154" s="33" t="s">
        <v>191</v>
      </c>
      <c r="B154" s="31" t="s">
        <v>192</v>
      </c>
      <c r="C154" s="11" t="str">
        <f t="shared" si="8"/>
        <v>Ela Bustamante</v>
      </c>
      <c r="D154" s="1" t="str">
        <f t="shared" si="7"/>
        <v/>
      </c>
      <c r="F154" s="42" t="s">
        <v>179</v>
      </c>
      <c r="G154" s="5" t="s">
        <v>180</v>
      </c>
      <c r="H154" s="5"/>
      <c r="I154" s="6" t="s">
        <v>1267</v>
      </c>
    </row>
    <row r="155" spans="1:9" x14ac:dyDescent="0.3">
      <c r="A155" s="30" t="s">
        <v>573</v>
      </c>
      <c r="B155" s="32" t="s">
        <v>574</v>
      </c>
      <c r="C155" s="11" t="str">
        <f t="shared" si="8"/>
        <v>Elizabeth Jimbo</v>
      </c>
      <c r="D155" s="1" t="str">
        <f t="shared" si="7"/>
        <v/>
      </c>
      <c r="F155" s="22" t="s">
        <v>958</v>
      </c>
      <c r="G155" s="22" t="s">
        <v>959</v>
      </c>
      <c r="H155" s="6"/>
      <c r="I155" s="6" t="s">
        <v>1267</v>
      </c>
    </row>
    <row r="156" spans="1:9" x14ac:dyDescent="0.3">
      <c r="A156" s="33" t="s">
        <v>968</v>
      </c>
      <c r="B156" s="31" t="s">
        <v>969</v>
      </c>
      <c r="C156" s="11" t="str">
        <f t="shared" si="8"/>
        <v>Elvia Sanmartin</v>
      </c>
      <c r="D156" s="1" t="str">
        <f t="shared" si="7"/>
        <v/>
      </c>
      <c r="F156" s="6" t="s">
        <v>572</v>
      </c>
      <c r="G156" s="6" t="s">
        <v>960</v>
      </c>
      <c r="H156" s="6"/>
      <c r="I156" s="6"/>
    </row>
    <row r="157" spans="1:9" x14ac:dyDescent="0.3">
      <c r="A157" s="30" t="s">
        <v>575</v>
      </c>
      <c r="B157" s="32" t="s">
        <v>576</v>
      </c>
      <c r="C157" s="11" t="str">
        <f t="shared" si="8"/>
        <v>Emil</v>
      </c>
      <c r="D157" s="1" t="str">
        <f t="shared" si="7"/>
        <v/>
      </c>
      <c r="F157" s="6" t="s">
        <v>181</v>
      </c>
      <c r="G157" s="7" t="s">
        <v>182</v>
      </c>
      <c r="H157" s="7"/>
      <c r="I157" s="6" t="s">
        <v>1267</v>
      </c>
    </row>
    <row r="158" spans="1:9" x14ac:dyDescent="0.3">
      <c r="A158" s="33" t="s">
        <v>970</v>
      </c>
      <c r="B158" s="31" t="s">
        <v>971</v>
      </c>
      <c r="C158" s="11" t="str">
        <f t="shared" si="8"/>
        <v>Empaqplast 2</v>
      </c>
      <c r="D158" s="1" t="str">
        <f t="shared" si="7"/>
        <v/>
      </c>
      <c r="F158" s="6" t="s">
        <v>961</v>
      </c>
      <c r="G158" s="6" t="s">
        <v>962</v>
      </c>
      <c r="H158" s="6"/>
      <c r="I158" s="6" t="s">
        <v>1267</v>
      </c>
    </row>
    <row r="159" spans="1:9" x14ac:dyDescent="0.3">
      <c r="A159" s="30" t="s">
        <v>972</v>
      </c>
      <c r="B159" s="32" t="s">
        <v>973</v>
      </c>
      <c r="C159" s="11" t="str">
        <f t="shared" si="8"/>
        <v>Enma Guaicha</v>
      </c>
      <c r="D159" s="1" t="str">
        <f t="shared" si="7"/>
        <v/>
      </c>
      <c r="F159" s="22" t="s">
        <v>1332</v>
      </c>
      <c r="G159" s="22" t="s">
        <v>1333</v>
      </c>
      <c r="H159" s="6"/>
      <c r="I159" s="6" t="s">
        <v>340</v>
      </c>
    </row>
    <row r="160" spans="1:9" x14ac:dyDescent="0.3">
      <c r="A160" s="33" t="s">
        <v>1336</v>
      </c>
      <c r="B160" s="31" t="s">
        <v>1301</v>
      </c>
      <c r="C160" s="11" t="str">
        <f t="shared" si="8"/>
        <v>Eras Pindal Distr</v>
      </c>
      <c r="D160" s="1" t="str">
        <f t="shared" si="7"/>
        <v/>
      </c>
      <c r="F160" s="6" t="s">
        <v>183</v>
      </c>
      <c r="G160" s="7" t="s">
        <v>184</v>
      </c>
      <c r="H160" s="7" t="s">
        <v>524</v>
      </c>
      <c r="I160" s="6" t="s">
        <v>1260</v>
      </c>
    </row>
    <row r="161" spans="1:9" x14ac:dyDescent="0.3">
      <c r="A161" s="30" t="s">
        <v>1337</v>
      </c>
      <c r="B161" s="32" t="s">
        <v>1338</v>
      </c>
      <c r="C161" s="11" t="str">
        <f t="shared" si="8"/>
        <v>Estalin Pindal</v>
      </c>
      <c r="D161" s="1" t="str">
        <f t="shared" si="7"/>
        <v/>
      </c>
      <c r="F161" s="6" t="s">
        <v>185</v>
      </c>
      <c r="G161" s="7" t="s">
        <v>186</v>
      </c>
      <c r="H161" s="7" t="s">
        <v>1508</v>
      </c>
      <c r="I161" s="6" t="s">
        <v>1261</v>
      </c>
    </row>
    <row r="162" spans="1:9" x14ac:dyDescent="0.3">
      <c r="A162" s="33" t="s">
        <v>1339</v>
      </c>
      <c r="B162" s="31" t="s">
        <v>1340</v>
      </c>
      <c r="C162" s="11" t="str">
        <f t="shared" si="8"/>
        <v>Estefy Bust.</v>
      </c>
      <c r="D162" s="1" t="str">
        <f t="shared" si="7"/>
        <v/>
      </c>
      <c r="F162" s="4" t="s">
        <v>187</v>
      </c>
      <c r="G162" s="5" t="s">
        <v>188</v>
      </c>
      <c r="H162" s="5" t="s">
        <v>1509</v>
      </c>
      <c r="I162" s="6" t="s">
        <v>1262</v>
      </c>
    </row>
    <row r="163" spans="1:9" x14ac:dyDescent="0.3">
      <c r="A163" s="30" t="s">
        <v>193</v>
      </c>
      <c r="B163" s="32" t="s">
        <v>194</v>
      </c>
      <c r="C163" s="11" t="str">
        <f t="shared" si="8"/>
        <v>Fabián Torres</v>
      </c>
      <c r="D163" s="1" t="str">
        <f t="shared" si="7"/>
        <v/>
      </c>
      <c r="F163" s="22" t="s">
        <v>963</v>
      </c>
      <c r="G163" s="22" t="s">
        <v>964</v>
      </c>
      <c r="H163" s="6" t="s">
        <v>1510</v>
      </c>
      <c r="I163" s="6" t="s">
        <v>1256</v>
      </c>
    </row>
    <row r="164" spans="1:9" x14ac:dyDescent="0.3">
      <c r="A164" s="33" t="s">
        <v>195</v>
      </c>
      <c r="B164" s="31" t="s">
        <v>196</v>
      </c>
      <c r="C164" s="11" t="str">
        <f t="shared" si="8"/>
        <v>Familia Cardenas</v>
      </c>
      <c r="D164" s="1" t="str">
        <f t="shared" si="7"/>
        <v/>
      </c>
      <c r="F164" s="22" t="s">
        <v>965</v>
      </c>
      <c r="G164" s="22" t="s">
        <v>966</v>
      </c>
      <c r="H164" s="6" t="s">
        <v>1222</v>
      </c>
      <c r="I164" s="6" t="s">
        <v>1259</v>
      </c>
    </row>
    <row r="165" spans="1:9" x14ac:dyDescent="0.3">
      <c r="A165" s="30" t="s">
        <v>197</v>
      </c>
      <c r="B165" s="32" t="s">
        <v>198</v>
      </c>
      <c r="C165" s="11" t="str">
        <f t="shared" ref="C165:C196" si="9">IFERROR(VLOOKUP(A165,$F$4:$H$243,1,0),0)</f>
        <v>Familia Erraez Vélez</v>
      </c>
      <c r="D165" s="1" t="str">
        <f t="shared" si="7"/>
        <v/>
      </c>
      <c r="F165" s="6" t="s">
        <v>529</v>
      </c>
      <c r="G165" s="7" t="s">
        <v>145</v>
      </c>
      <c r="H165" s="7"/>
      <c r="I165" s="6" t="s">
        <v>1267</v>
      </c>
    </row>
    <row r="166" spans="1:9" x14ac:dyDescent="0.3">
      <c r="A166" s="33" t="s">
        <v>199</v>
      </c>
      <c r="B166" s="31" t="s">
        <v>200</v>
      </c>
      <c r="C166" s="11" t="str">
        <f t="shared" si="9"/>
        <v>Familia Mora Mendoza</v>
      </c>
      <c r="D166" s="1" t="str">
        <f t="shared" si="7"/>
        <v/>
      </c>
      <c r="F166" s="6" t="s">
        <v>967</v>
      </c>
      <c r="G166" s="6" t="s">
        <v>109</v>
      </c>
      <c r="H166" s="6"/>
      <c r="I166" s="6" t="s">
        <v>1260</v>
      </c>
    </row>
    <row r="167" spans="1:9" x14ac:dyDescent="0.3">
      <c r="A167" s="30" t="s">
        <v>1341</v>
      </c>
      <c r="B167" s="32" t="s">
        <v>1342</v>
      </c>
      <c r="C167" s="11" t="str">
        <f t="shared" si="9"/>
        <v>Fernando Bustamante</v>
      </c>
      <c r="D167" s="1" t="str">
        <f t="shared" si="7"/>
        <v/>
      </c>
      <c r="F167" s="6" t="s">
        <v>1334</v>
      </c>
      <c r="G167" s="6" t="s">
        <v>1335</v>
      </c>
      <c r="H167" s="6" t="s">
        <v>1511</v>
      </c>
      <c r="I167" s="6" t="s">
        <v>1260</v>
      </c>
    </row>
    <row r="168" spans="1:9" x14ac:dyDescent="0.3">
      <c r="A168" s="33" t="s">
        <v>201</v>
      </c>
      <c r="B168" s="31" t="s">
        <v>577</v>
      </c>
      <c r="C168" s="11" t="str">
        <f t="shared" si="9"/>
        <v>Fernando Gualan</v>
      </c>
      <c r="D168" s="1" t="str">
        <f t="shared" si="7"/>
        <v/>
      </c>
      <c r="F168" s="4" t="s">
        <v>189</v>
      </c>
      <c r="G168" s="5" t="s">
        <v>190</v>
      </c>
      <c r="H168" s="5" t="s">
        <v>1512</v>
      </c>
      <c r="I168" s="6" t="s">
        <v>1259</v>
      </c>
    </row>
    <row r="169" spans="1:9" x14ac:dyDescent="0.3">
      <c r="A169" s="30" t="s">
        <v>1343</v>
      </c>
      <c r="B169" s="32" t="s">
        <v>1344</v>
      </c>
      <c r="C169" s="11" t="str">
        <f t="shared" si="9"/>
        <v>Ferrecuador Eras y Alava</v>
      </c>
      <c r="D169" s="1" t="str">
        <f t="shared" si="7"/>
        <v/>
      </c>
      <c r="F169" s="6" t="s">
        <v>191</v>
      </c>
      <c r="G169" s="7" t="s">
        <v>192</v>
      </c>
      <c r="H169" s="7" t="s">
        <v>1223</v>
      </c>
      <c r="I169" s="6" t="s">
        <v>1253</v>
      </c>
    </row>
    <row r="170" spans="1:9" x14ac:dyDescent="0.3">
      <c r="A170" s="33" t="s">
        <v>202</v>
      </c>
      <c r="B170" s="31" t="s">
        <v>203</v>
      </c>
      <c r="C170" s="11" t="str">
        <f t="shared" si="9"/>
        <v>Flor Patiño</v>
      </c>
      <c r="D170" s="1" t="str">
        <f t="shared" si="7"/>
        <v/>
      </c>
      <c r="F170" s="6" t="s">
        <v>573</v>
      </c>
      <c r="G170" s="12" t="s">
        <v>574</v>
      </c>
      <c r="H170" s="6"/>
      <c r="I170" s="6" t="s">
        <v>1267</v>
      </c>
    </row>
    <row r="171" spans="1:9" x14ac:dyDescent="0.3">
      <c r="A171" s="30" t="s">
        <v>1345</v>
      </c>
      <c r="B171" s="32" t="s">
        <v>1346</v>
      </c>
      <c r="C171" s="11" t="str">
        <f t="shared" si="9"/>
        <v>Francisco Vera 2</v>
      </c>
      <c r="D171" s="1" t="str">
        <f t="shared" si="7"/>
        <v/>
      </c>
      <c r="F171" s="6" t="s">
        <v>968</v>
      </c>
      <c r="G171" s="6" t="s">
        <v>969</v>
      </c>
      <c r="H171" s="6"/>
      <c r="I171" s="6" t="s">
        <v>1267</v>
      </c>
    </row>
    <row r="172" spans="1:9" x14ac:dyDescent="0.3">
      <c r="A172" s="33" t="s">
        <v>1347</v>
      </c>
      <c r="B172" s="31" t="s">
        <v>1348</v>
      </c>
      <c r="C172" s="11" t="str">
        <f t="shared" si="9"/>
        <v>Francisco Vera Panadero</v>
      </c>
      <c r="D172" s="1" t="str">
        <f t="shared" si="7"/>
        <v/>
      </c>
      <c r="F172" s="6" t="s">
        <v>575</v>
      </c>
      <c r="G172" s="12" t="s">
        <v>576</v>
      </c>
      <c r="H172" s="6"/>
      <c r="I172" s="6" t="s">
        <v>1267</v>
      </c>
    </row>
    <row r="173" spans="1:9" x14ac:dyDescent="0.3">
      <c r="A173" s="30" t="s">
        <v>578</v>
      </c>
      <c r="B173" s="32" t="s">
        <v>579</v>
      </c>
      <c r="C173" s="11" t="str">
        <f t="shared" si="9"/>
        <v>Franco Rogel</v>
      </c>
      <c r="D173" s="1" t="str">
        <f t="shared" si="7"/>
        <v/>
      </c>
      <c r="F173" s="43" t="s">
        <v>970</v>
      </c>
      <c r="G173" s="6" t="s">
        <v>971</v>
      </c>
      <c r="H173" s="6"/>
      <c r="I173" s="6" t="s">
        <v>1267</v>
      </c>
    </row>
    <row r="174" spans="1:9" x14ac:dyDescent="0.3">
      <c r="A174" s="33" t="s">
        <v>204</v>
      </c>
      <c r="B174" s="31" t="s">
        <v>205</v>
      </c>
      <c r="C174" s="11" t="str">
        <f t="shared" si="9"/>
        <v>Franco Torres</v>
      </c>
      <c r="D174" s="1" t="str">
        <f t="shared" si="7"/>
        <v/>
      </c>
      <c r="F174" s="22" t="s">
        <v>972</v>
      </c>
      <c r="G174" s="22" t="s">
        <v>973</v>
      </c>
      <c r="H174" s="6"/>
      <c r="I174" s="6" t="s">
        <v>1267</v>
      </c>
    </row>
    <row r="175" spans="1:9" x14ac:dyDescent="0.3">
      <c r="A175" s="30" t="s">
        <v>974</v>
      </c>
      <c r="B175" s="32" t="s">
        <v>975</v>
      </c>
      <c r="C175" s="11" t="str">
        <f t="shared" si="9"/>
        <v>Franklin Ranbay</v>
      </c>
      <c r="D175" s="1" t="str">
        <f t="shared" si="7"/>
        <v/>
      </c>
      <c r="F175" s="43" t="s">
        <v>1336</v>
      </c>
      <c r="G175" s="6" t="s">
        <v>1301</v>
      </c>
      <c r="H175" s="6"/>
      <c r="I175" s="6" t="s">
        <v>1267</v>
      </c>
    </row>
    <row r="176" spans="1:9" x14ac:dyDescent="0.3">
      <c r="A176" s="33" t="s">
        <v>206</v>
      </c>
      <c r="B176" s="31" t="s">
        <v>207</v>
      </c>
      <c r="C176" s="11" t="str">
        <f t="shared" si="9"/>
        <v>Freddy Varón</v>
      </c>
      <c r="D176" s="1" t="str">
        <f t="shared" si="7"/>
        <v/>
      </c>
      <c r="F176" s="22" t="s">
        <v>1337</v>
      </c>
      <c r="G176" s="22" t="s">
        <v>1338</v>
      </c>
      <c r="H176" s="6"/>
      <c r="I176" s="6" t="s">
        <v>1267</v>
      </c>
    </row>
    <row r="177" spans="1:9" x14ac:dyDescent="0.3">
      <c r="A177" s="30" t="s">
        <v>208</v>
      </c>
      <c r="B177" s="32" t="s">
        <v>209</v>
      </c>
      <c r="C177" s="11" t="str">
        <f t="shared" si="9"/>
        <v>Gaby Paredes</v>
      </c>
      <c r="D177" s="1" t="str">
        <f t="shared" si="7"/>
        <v/>
      </c>
      <c r="F177" s="6" t="s">
        <v>1339</v>
      </c>
      <c r="G177" s="6" t="s">
        <v>1340</v>
      </c>
      <c r="H177" s="6" t="s">
        <v>1513</v>
      </c>
      <c r="I177" s="6" t="s">
        <v>1263</v>
      </c>
    </row>
    <row r="178" spans="1:9" x14ac:dyDescent="0.3">
      <c r="A178" s="33" t="s">
        <v>978</v>
      </c>
      <c r="B178" s="31" t="s">
        <v>979</v>
      </c>
      <c r="C178" s="11" t="str">
        <f t="shared" si="9"/>
        <v>Gaby Torres</v>
      </c>
      <c r="D178" s="1" t="str">
        <f t="shared" si="7"/>
        <v/>
      </c>
      <c r="F178" s="4" t="s">
        <v>193</v>
      </c>
      <c r="G178" s="5" t="s">
        <v>194</v>
      </c>
      <c r="H178" s="5" t="s">
        <v>523</v>
      </c>
      <c r="I178" s="6" t="s">
        <v>1263</v>
      </c>
    </row>
    <row r="179" spans="1:9" x14ac:dyDescent="0.3">
      <c r="A179" s="30" t="s">
        <v>210</v>
      </c>
      <c r="B179" s="32" t="s">
        <v>211</v>
      </c>
      <c r="C179" s="11" t="str">
        <f t="shared" si="9"/>
        <v>Gael</v>
      </c>
      <c r="D179" s="1" t="str">
        <f t="shared" si="7"/>
        <v/>
      </c>
      <c r="F179" s="6" t="s">
        <v>195</v>
      </c>
      <c r="G179" s="7" t="s">
        <v>196</v>
      </c>
      <c r="H179" s="7" t="s">
        <v>1224</v>
      </c>
      <c r="I179" s="6" t="s">
        <v>1254</v>
      </c>
    </row>
    <row r="180" spans="1:9" x14ac:dyDescent="0.3">
      <c r="A180" s="33" t="s">
        <v>212</v>
      </c>
      <c r="B180" s="31" t="s">
        <v>213</v>
      </c>
      <c r="C180" s="11" t="str">
        <f t="shared" si="9"/>
        <v>Galo Fernandez</v>
      </c>
      <c r="D180" s="1" t="str">
        <f t="shared" si="7"/>
        <v/>
      </c>
      <c r="F180" s="4" t="s">
        <v>197</v>
      </c>
      <c r="G180" s="5" t="s">
        <v>198</v>
      </c>
      <c r="H180" s="5" t="s">
        <v>1225</v>
      </c>
      <c r="I180" s="6" t="s">
        <v>1254</v>
      </c>
    </row>
    <row r="181" spans="1:9" x14ac:dyDescent="0.3">
      <c r="A181" s="30" t="s">
        <v>214</v>
      </c>
      <c r="B181" s="32" t="s">
        <v>215</v>
      </c>
      <c r="C181" s="11" t="str">
        <f t="shared" si="9"/>
        <v>Gladis Montalvan</v>
      </c>
      <c r="D181" s="1" t="str">
        <f t="shared" si="7"/>
        <v/>
      </c>
      <c r="F181" s="6" t="s">
        <v>199</v>
      </c>
      <c r="G181" s="7" t="s">
        <v>200</v>
      </c>
      <c r="H181" s="7"/>
      <c r="I181" s="6" t="s">
        <v>1258</v>
      </c>
    </row>
    <row r="182" spans="1:9" x14ac:dyDescent="0.3">
      <c r="A182" s="33" t="s">
        <v>216</v>
      </c>
      <c r="B182" s="31" t="s">
        <v>217</v>
      </c>
      <c r="C182" s="11" t="str">
        <f t="shared" si="9"/>
        <v>Gonzalo Ambuludi</v>
      </c>
      <c r="D182" s="1" t="str">
        <f t="shared" si="7"/>
        <v/>
      </c>
      <c r="F182" s="22" t="s">
        <v>1341</v>
      </c>
      <c r="G182" s="22" t="s">
        <v>1342</v>
      </c>
      <c r="H182" s="6" t="s">
        <v>1514</v>
      </c>
      <c r="I182" s="6" t="s">
        <v>1500</v>
      </c>
    </row>
    <row r="183" spans="1:9" x14ac:dyDescent="0.3">
      <c r="A183" s="30" t="s">
        <v>980</v>
      </c>
      <c r="B183" s="32" t="s">
        <v>981</v>
      </c>
      <c r="C183" s="11" t="str">
        <f t="shared" si="9"/>
        <v>Gonzalo Mereci 👷🏻‍♂️</v>
      </c>
      <c r="D183" s="1" t="str">
        <f t="shared" si="7"/>
        <v/>
      </c>
      <c r="F183" s="4" t="s">
        <v>201</v>
      </c>
      <c r="G183" s="5" t="s">
        <v>458</v>
      </c>
      <c r="H183" s="5" t="s">
        <v>522</v>
      </c>
      <c r="I183" s="6" t="s">
        <v>1258</v>
      </c>
    </row>
    <row r="184" spans="1:9" x14ac:dyDescent="0.3">
      <c r="A184" s="33" t="s">
        <v>580</v>
      </c>
      <c r="B184" s="31" t="s">
        <v>61</v>
      </c>
      <c r="C184" s="11" t="str">
        <f t="shared" si="9"/>
        <v>Gordillo</v>
      </c>
      <c r="D184" s="1" t="str">
        <f t="shared" si="7"/>
        <v/>
      </c>
      <c r="F184" s="6" t="s">
        <v>456</v>
      </c>
      <c r="G184" s="7" t="s">
        <v>457</v>
      </c>
      <c r="H184" s="7" t="s">
        <v>522</v>
      </c>
      <c r="I184" s="6" t="s">
        <v>1258</v>
      </c>
    </row>
    <row r="185" spans="1:9" x14ac:dyDescent="0.3">
      <c r="A185" s="30" t="s">
        <v>219</v>
      </c>
      <c r="B185" s="32" t="s">
        <v>220</v>
      </c>
      <c r="C185" s="11" t="str">
        <f t="shared" si="9"/>
        <v>Gym</v>
      </c>
      <c r="D185" s="1" t="str">
        <f t="shared" si="7"/>
        <v/>
      </c>
      <c r="F185" s="22" t="s">
        <v>1343</v>
      </c>
      <c r="G185" s="22" t="s">
        <v>1344</v>
      </c>
      <c r="H185" s="6"/>
      <c r="I185" s="6" t="s">
        <v>340</v>
      </c>
    </row>
    <row r="186" spans="1:9" x14ac:dyDescent="0.3">
      <c r="A186" s="33" t="s">
        <v>221</v>
      </c>
      <c r="B186" s="31" t="s">
        <v>222</v>
      </c>
      <c r="C186" s="11" t="str">
        <f t="shared" si="9"/>
        <v>Hamburguesas</v>
      </c>
      <c r="D186" s="1" t="str">
        <f t="shared" si="7"/>
        <v/>
      </c>
      <c r="F186" s="6" t="s">
        <v>202</v>
      </c>
      <c r="G186" s="7" t="s">
        <v>203</v>
      </c>
      <c r="H186" s="7" t="s">
        <v>1515</v>
      </c>
      <c r="I186" s="6" t="s">
        <v>1260</v>
      </c>
    </row>
    <row r="187" spans="1:9" x14ac:dyDescent="0.3">
      <c r="A187" s="30" t="s">
        <v>982</v>
      </c>
      <c r="B187" s="32" t="s">
        <v>983</v>
      </c>
      <c r="C187" s="11" t="str">
        <f t="shared" si="9"/>
        <v>Harry Ordoñez</v>
      </c>
      <c r="D187" s="1" t="str">
        <f t="shared" si="7"/>
        <v/>
      </c>
      <c r="F187" s="44" t="s">
        <v>1345</v>
      </c>
      <c r="G187" s="22" t="s">
        <v>1346</v>
      </c>
      <c r="H187" s="6"/>
      <c r="I187" s="6"/>
    </row>
    <row r="188" spans="1:9" x14ac:dyDescent="0.3">
      <c r="A188" s="33" t="s">
        <v>1349</v>
      </c>
      <c r="B188" s="31" t="s">
        <v>1350</v>
      </c>
      <c r="C188" s="11" t="str">
        <f t="shared" si="9"/>
        <v>Hello Pazmiño</v>
      </c>
      <c r="D188" s="1" t="str">
        <f t="shared" si="7"/>
        <v/>
      </c>
      <c r="F188" s="43" t="s">
        <v>1347</v>
      </c>
      <c r="G188" s="6" t="s">
        <v>1348</v>
      </c>
      <c r="H188" s="6"/>
      <c r="I188" s="6"/>
    </row>
    <row r="189" spans="1:9" x14ac:dyDescent="0.3">
      <c r="A189" s="30" t="s">
        <v>223</v>
      </c>
      <c r="B189" s="32" t="s">
        <v>224</v>
      </c>
      <c r="C189" s="11" t="str">
        <f t="shared" si="9"/>
        <v>Hernan Amaguaña</v>
      </c>
      <c r="D189" s="1" t="str">
        <f t="shared" si="7"/>
        <v/>
      </c>
      <c r="F189" s="6" t="s">
        <v>578</v>
      </c>
      <c r="G189" s="12" t="s">
        <v>579</v>
      </c>
      <c r="H189" s="6" t="s">
        <v>1226</v>
      </c>
      <c r="I189" s="6" t="s">
        <v>1255</v>
      </c>
    </row>
    <row r="190" spans="1:9" x14ac:dyDescent="0.3">
      <c r="A190" s="33" t="s">
        <v>225</v>
      </c>
      <c r="B190" s="31" t="s">
        <v>226</v>
      </c>
      <c r="C190" s="11" t="str">
        <f t="shared" si="9"/>
        <v>Hernan Rodriguez</v>
      </c>
      <c r="D190" s="1" t="str">
        <f t="shared" si="7"/>
        <v/>
      </c>
      <c r="F190" s="4" t="s">
        <v>204</v>
      </c>
      <c r="G190" s="5" t="s">
        <v>205</v>
      </c>
      <c r="H190" s="5"/>
      <c r="I190" s="6" t="s">
        <v>1267</v>
      </c>
    </row>
    <row r="191" spans="1:9" x14ac:dyDescent="0.3">
      <c r="A191" s="30" t="s">
        <v>227</v>
      </c>
      <c r="B191" s="32" t="s">
        <v>228</v>
      </c>
      <c r="C191" s="11" t="str">
        <f t="shared" si="9"/>
        <v>Hilda León</v>
      </c>
      <c r="D191" s="1" t="str">
        <f t="shared" si="7"/>
        <v/>
      </c>
      <c r="F191" s="6" t="s">
        <v>974</v>
      </c>
      <c r="G191" s="6" t="s">
        <v>975</v>
      </c>
      <c r="H191" s="6"/>
      <c r="I191" s="6" t="s">
        <v>1268</v>
      </c>
    </row>
    <row r="192" spans="1:9" x14ac:dyDescent="0.3">
      <c r="A192" s="33" t="s">
        <v>229</v>
      </c>
      <c r="B192" s="31" t="s">
        <v>114</v>
      </c>
      <c r="C192" s="11" t="str">
        <f t="shared" si="9"/>
        <v>Hna Lic Johana</v>
      </c>
      <c r="D192" s="1" t="str">
        <f t="shared" ref="D192:D254" si="10">IF(C192=0,"Cliente Nuevo","")</f>
        <v/>
      </c>
      <c r="F192" s="6" t="s">
        <v>206</v>
      </c>
      <c r="G192" s="7" t="s">
        <v>207</v>
      </c>
      <c r="H192" s="7"/>
      <c r="I192" s="6" t="s">
        <v>1267</v>
      </c>
    </row>
    <row r="193" spans="1:9" x14ac:dyDescent="0.3">
      <c r="A193" s="30" t="s">
        <v>230</v>
      </c>
      <c r="B193" s="32" t="s">
        <v>218</v>
      </c>
      <c r="C193" s="11" t="str">
        <f t="shared" si="9"/>
        <v>Hugo Martines</v>
      </c>
      <c r="D193" s="1" t="str">
        <f t="shared" si="10"/>
        <v/>
      </c>
      <c r="F193" s="43" t="s">
        <v>976</v>
      </c>
      <c r="G193" s="6" t="s">
        <v>977</v>
      </c>
      <c r="H193" s="6"/>
      <c r="I193" s="6" t="s">
        <v>1267</v>
      </c>
    </row>
    <row r="194" spans="1:9" x14ac:dyDescent="0.3">
      <c r="A194" s="33" t="s">
        <v>231</v>
      </c>
      <c r="B194" s="31" t="s">
        <v>232</v>
      </c>
      <c r="C194" s="11" t="str">
        <f t="shared" si="9"/>
        <v>Ing Robles</v>
      </c>
      <c r="D194" s="1" t="str">
        <f t="shared" si="10"/>
        <v/>
      </c>
      <c r="F194" s="4" t="s">
        <v>208</v>
      </c>
      <c r="G194" s="5" t="s">
        <v>209</v>
      </c>
      <c r="H194" s="5"/>
      <c r="I194" s="6" t="s">
        <v>1267</v>
      </c>
    </row>
    <row r="195" spans="1:9" x14ac:dyDescent="0.3">
      <c r="A195" s="30" t="s">
        <v>984</v>
      </c>
      <c r="B195" s="32" t="s">
        <v>985</v>
      </c>
      <c r="C195" s="11" t="str">
        <f t="shared" si="9"/>
        <v>Ismael Cruz</v>
      </c>
      <c r="D195" s="1" t="str">
        <f t="shared" si="10"/>
        <v/>
      </c>
      <c r="F195" s="6" t="s">
        <v>978</v>
      </c>
      <c r="G195" s="6" t="s">
        <v>979</v>
      </c>
      <c r="H195" s="6"/>
      <c r="I195" s="6" t="s">
        <v>1267</v>
      </c>
    </row>
    <row r="196" spans="1:9" x14ac:dyDescent="0.3">
      <c r="A196" s="33" t="s">
        <v>986</v>
      </c>
      <c r="B196" s="31" t="s">
        <v>987</v>
      </c>
      <c r="C196" s="11" t="str">
        <f t="shared" si="9"/>
        <v>Italo Alvarez</v>
      </c>
      <c r="D196" s="1" t="str">
        <f t="shared" si="10"/>
        <v/>
      </c>
      <c r="F196" s="43" t="s">
        <v>210</v>
      </c>
      <c r="G196" s="7" t="s">
        <v>211</v>
      </c>
      <c r="H196" s="7"/>
      <c r="I196" s="6" t="s">
        <v>1262</v>
      </c>
    </row>
    <row r="197" spans="1:9" x14ac:dyDescent="0.3">
      <c r="A197" s="30" t="s">
        <v>1351</v>
      </c>
      <c r="B197" s="32" t="s">
        <v>1352</v>
      </c>
      <c r="C197" s="11" t="str">
        <f t="shared" ref="C197:C219" si="11">IFERROR(VLOOKUP(A197,$F$4:$H$243,1,0),0)</f>
        <v>Italo Alvarez 2</v>
      </c>
      <c r="D197" s="1" t="str">
        <f t="shared" si="10"/>
        <v/>
      </c>
      <c r="F197" s="4" t="s">
        <v>212</v>
      </c>
      <c r="G197" s="5" t="s">
        <v>213</v>
      </c>
      <c r="H197" s="5" t="s">
        <v>486</v>
      </c>
      <c r="I197" s="6" t="s">
        <v>1259</v>
      </c>
    </row>
    <row r="198" spans="1:9" x14ac:dyDescent="0.3">
      <c r="A198" s="33" t="s">
        <v>1353</v>
      </c>
      <c r="B198" s="31" t="s">
        <v>1354</v>
      </c>
      <c r="C198" s="11" t="str">
        <f t="shared" si="11"/>
        <v>Iván Buele</v>
      </c>
      <c r="D198" s="1" t="str">
        <f t="shared" si="10"/>
        <v/>
      </c>
      <c r="F198" s="6" t="s">
        <v>214</v>
      </c>
      <c r="G198" s="7" t="s">
        <v>215</v>
      </c>
      <c r="H198" s="7"/>
      <c r="I198" s="6" t="s">
        <v>1267</v>
      </c>
    </row>
    <row r="199" spans="1:9" x14ac:dyDescent="0.3">
      <c r="A199" s="30" t="s">
        <v>518</v>
      </c>
      <c r="B199" s="32" t="s">
        <v>519</v>
      </c>
      <c r="C199" s="11" t="str">
        <f t="shared" si="11"/>
        <v>Ivan Elizalde</v>
      </c>
      <c r="D199" s="1" t="str">
        <f t="shared" si="10"/>
        <v/>
      </c>
      <c r="F199" s="4" t="s">
        <v>216</v>
      </c>
      <c r="G199" s="5" t="s">
        <v>217</v>
      </c>
      <c r="H199" s="5"/>
      <c r="I199" s="6" t="s">
        <v>1267</v>
      </c>
    </row>
    <row r="200" spans="1:9" x14ac:dyDescent="0.3">
      <c r="A200" s="33" t="s">
        <v>1355</v>
      </c>
      <c r="B200" s="31" t="s">
        <v>1356</v>
      </c>
      <c r="C200" s="11" t="str">
        <f t="shared" si="11"/>
        <v>Ivan Peralta</v>
      </c>
      <c r="D200" s="1" t="str">
        <f t="shared" si="10"/>
        <v/>
      </c>
      <c r="F200" s="22" t="s">
        <v>980</v>
      </c>
      <c r="G200" s="22" t="s">
        <v>981</v>
      </c>
      <c r="H200" s="6"/>
      <c r="I200" s="6" t="s">
        <v>1267</v>
      </c>
    </row>
    <row r="201" spans="1:9" x14ac:dyDescent="0.3">
      <c r="A201" s="30" t="s">
        <v>988</v>
      </c>
      <c r="B201" s="32" t="s">
        <v>989</v>
      </c>
      <c r="C201" s="11">
        <f t="shared" si="11"/>
        <v>0</v>
      </c>
      <c r="D201" s="1" t="str">
        <f t="shared" si="10"/>
        <v>Cliente Nuevo</v>
      </c>
      <c r="F201" s="6" t="s">
        <v>580</v>
      </c>
      <c r="G201" s="12">
        <v>959227431</v>
      </c>
      <c r="H201" s="6" t="s">
        <v>1516</v>
      </c>
      <c r="I201" s="6" t="s">
        <v>1254</v>
      </c>
    </row>
    <row r="202" spans="1:9" x14ac:dyDescent="0.3">
      <c r="A202" s="33" t="s">
        <v>235</v>
      </c>
      <c r="B202" s="31" t="s">
        <v>581</v>
      </c>
      <c r="C202" s="11" t="str">
        <f t="shared" si="11"/>
        <v>Jeni Valdivieso</v>
      </c>
      <c r="D202" s="1" t="str">
        <f t="shared" si="10"/>
        <v/>
      </c>
      <c r="F202" s="6" t="s">
        <v>219</v>
      </c>
      <c r="G202" s="7" t="s">
        <v>220</v>
      </c>
      <c r="H202" s="7" t="s">
        <v>484</v>
      </c>
      <c r="I202" s="6" t="s">
        <v>1260</v>
      </c>
    </row>
    <row r="203" spans="1:9" x14ac:dyDescent="0.3">
      <c r="A203" s="30" t="s">
        <v>1357</v>
      </c>
      <c r="B203" s="32" t="s">
        <v>1358</v>
      </c>
      <c r="C203" s="11" t="str">
        <f t="shared" si="11"/>
        <v>Jeniffer Reyes</v>
      </c>
      <c r="D203" s="1" t="str">
        <f t="shared" si="10"/>
        <v/>
      </c>
      <c r="F203" s="4" t="s">
        <v>221</v>
      </c>
      <c r="G203" s="5" t="s">
        <v>222</v>
      </c>
      <c r="H203" s="5"/>
      <c r="I203" s="6" t="s">
        <v>1267</v>
      </c>
    </row>
    <row r="204" spans="1:9" x14ac:dyDescent="0.3">
      <c r="A204" s="33" t="s">
        <v>237</v>
      </c>
      <c r="B204" s="31" t="s">
        <v>238</v>
      </c>
      <c r="C204" s="11" t="str">
        <f t="shared" si="11"/>
        <v>Jenny Casti Loja</v>
      </c>
      <c r="D204" s="1" t="str">
        <f t="shared" si="10"/>
        <v/>
      </c>
      <c r="F204" s="22" t="s">
        <v>982</v>
      </c>
      <c r="G204" s="22" t="s">
        <v>983</v>
      </c>
      <c r="H204" s="6" t="s">
        <v>1517</v>
      </c>
      <c r="I204" s="6" t="s">
        <v>1257</v>
      </c>
    </row>
    <row r="205" spans="1:9" x14ac:dyDescent="0.3">
      <c r="A205" s="30" t="s">
        <v>990</v>
      </c>
      <c r="B205" s="32" t="s">
        <v>991</v>
      </c>
      <c r="C205" s="11" t="str">
        <f t="shared" si="11"/>
        <v>Jenny Pulluguari</v>
      </c>
      <c r="D205" s="1" t="str">
        <f t="shared" si="10"/>
        <v/>
      </c>
      <c r="F205" s="6" t="s">
        <v>1349</v>
      </c>
      <c r="G205" s="6" t="s">
        <v>1350</v>
      </c>
      <c r="H205" s="6"/>
      <c r="I205" s="6"/>
    </row>
    <row r="206" spans="1:9" x14ac:dyDescent="0.3">
      <c r="A206" s="33" t="s">
        <v>992</v>
      </c>
      <c r="B206" s="31" t="s">
        <v>993</v>
      </c>
      <c r="C206" s="11" t="str">
        <f t="shared" si="11"/>
        <v>Jenny Reyes</v>
      </c>
      <c r="D206" s="1" t="str">
        <f t="shared" si="10"/>
        <v/>
      </c>
      <c r="F206" s="6" t="s">
        <v>223</v>
      </c>
      <c r="G206" s="7" t="s">
        <v>224</v>
      </c>
      <c r="H206" s="7" t="s">
        <v>485</v>
      </c>
      <c r="I206" s="6" t="s">
        <v>1257</v>
      </c>
    </row>
    <row r="207" spans="1:9" x14ac:dyDescent="0.3">
      <c r="A207" s="30" t="s">
        <v>239</v>
      </c>
      <c r="B207" s="32" t="s">
        <v>240</v>
      </c>
      <c r="C207" s="11" t="str">
        <f t="shared" si="11"/>
        <v>Jesenia Gutiérrez</v>
      </c>
      <c r="D207" s="1" t="str">
        <f t="shared" si="10"/>
        <v/>
      </c>
      <c r="F207" s="4" t="s">
        <v>225</v>
      </c>
      <c r="G207" s="5" t="s">
        <v>226</v>
      </c>
      <c r="H207" s="5"/>
      <c r="I207" s="6" t="s">
        <v>1267</v>
      </c>
    </row>
    <row r="208" spans="1:9" x14ac:dyDescent="0.3">
      <c r="A208" s="33" t="s">
        <v>241</v>
      </c>
      <c r="B208" s="31" t="s">
        <v>242</v>
      </c>
      <c r="C208" s="11" t="str">
        <f t="shared" si="11"/>
        <v>Jessica Torres</v>
      </c>
      <c r="D208" s="1" t="str">
        <f t="shared" si="10"/>
        <v/>
      </c>
      <c r="F208" s="6" t="s">
        <v>537</v>
      </c>
      <c r="G208" s="7" t="s">
        <v>538</v>
      </c>
      <c r="H208" s="7" t="s">
        <v>539</v>
      </c>
      <c r="I208" s="6" t="s">
        <v>1257</v>
      </c>
    </row>
    <row r="209" spans="1:9" x14ac:dyDescent="0.3">
      <c r="A209" s="30" t="s">
        <v>1359</v>
      </c>
      <c r="B209" s="32" t="s">
        <v>1360</v>
      </c>
      <c r="C209" s="11" t="str">
        <f t="shared" si="11"/>
        <v>Jhoa Chuquimarca</v>
      </c>
      <c r="D209" s="1" t="str">
        <f t="shared" si="10"/>
        <v/>
      </c>
      <c r="F209" s="4" t="s">
        <v>227</v>
      </c>
      <c r="G209" s="5" t="s">
        <v>228</v>
      </c>
      <c r="H209" s="5"/>
      <c r="I209" s="6" t="s">
        <v>1267</v>
      </c>
    </row>
    <row r="210" spans="1:9" x14ac:dyDescent="0.3">
      <c r="A210" s="33" t="s">
        <v>994</v>
      </c>
      <c r="B210" s="31" t="s">
        <v>995</v>
      </c>
      <c r="C210" s="11" t="str">
        <f t="shared" si="11"/>
        <v>Joe Torres</v>
      </c>
      <c r="D210" s="1" t="str">
        <f t="shared" si="10"/>
        <v/>
      </c>
      <c r="F210" s="6" t="s">
        <v>229</v>
      </c>
      <c r="G210" s="7" t="s">
        <v>114</v>
      </c>
      <c r="H210" s="7"/>
      <c r="I210" s="6" t="s">
        <v>1256</v>
      </c>
    </row>
    <row r="211" spans="1:9" x14ac:dyDescent="0.3">
      <c r="A211" s="30" t="s">
        <v>996</v>
      </c>
      <c r="B211" s="32" t="s">
        <v>997</v>
      </c>
      <c r="C211" s="11" t="str">
        <f t="shared" si="11"/>
        <v>Johana Sandoya</v>
      </c>
      <c r="D211" s="1" t="str">
        <f t="shared" si="10"/>
        <v/>
      </c>
      <c r="F211" s="4" t="s">
        <v>230</v>
      </c>
      <c r="G211" s="5" t="s">
        <v>218</v>
      </c>
      <c r="H211" s="5" t="s">
        <v>483</v>
      </c>
      <c r="I211" s="6" t="s">
        <v>1256</v>
      </c>
    </row>
    <row r="212" spans="1:9" x14ac:dyDescent="0.3">
      <c r="A212" s="33" t="s">
        <v>243</v>
      </c>
      <c r="B212" s="31" t="s">
        <v>244</v>
      </c>
      <c r="C212" s="11" t="str">
        <f t="shared" si="11"/>
        <v>Jonathan Chamba</v>
      </c>
      <c r="D212" s="1" t="str">
        <f t="shared" si="10"/>
        <v/>
      </c>
      <c r="F212" s="43" t="s">
        <v>230</v>
      </c>
      <c r="G212" s="7" t="s">
        <v>218</v>
      </c>
      <c r="H212" s="7" t="s">
        <v>521</v>
      </c>
      <c r="I212" s="6" t="s">
        <v>1256</v>
      </c>
    </row>
    <row r="213" spans="1:9" x14ac:dyDescent="0.3">
      <c r="A213" s="30" t="s">
        <v>1361</v>
      </c>
      <c r="B213" s="32" t="s">
        <v>1362</v>
      </c>
      <c r="C213" s="11" t="str">
        <f t="shared" si="11"/>
        <v>Jorge Luna</v>
      </c>
      <c r="D213" s="1" t="str">
        <f t="shared" si="10"/>
        <v/>
      </c>
      <c r="F213" s="4" t="s">
        <v>231</v>
      </c>
      <c r="G213" s="5" t="s">
        <v>232</v>
      </c>
      <c r="H213" s="5" t="s">
        <v>1518</v>
      </c>
      <c r="I213" s="6" t="s">
        <v>1255</v>
      </c>
    </row>
    <row r="214" spans="1:9" x14ac:dyDescent="0.3">
      <c r="A214" s="33" t="s">
        <v>1363</v>
      </c>
      <c r="B214" s="31" t="s">
        <v>1364</v>
      </c>
      <c r="C214" s="11" t="str">
        <f t="shared" si="11"/>
        <v>Jorge Sanchez</v>
      </c>
      <c r="D214" s="1" t="str">
        <f t="shared" si="10"/>
        <v/>
      </c>
      <c r="F214" s="6" t="s">
        <v>233</v>
      </c>
      <c r="G214" s="7" t="s">
        <v>234</v>
      </c>
      <c r="H214" s="7"/>
      <c r="I214" s="6" t="s">
        <v>1267</v>
      </c>
    </row>
    <row r="215" spans="1:9" x14ac:dyDescent="0.3">
      <c r="A215" s="30" t="s">
        <v>998</v>
      </c>
      <c r="B215" s="32" t="s">
        <v>999</v>
      </c>
      <c r="C215" s="11" t="str">
        <f t="shared" si="11"/>
        <v>Jorge Sánchez Sabanilla</v>
      </c>
      <c r="D215" s="1" t="str">
        <f t="shared" si="10"/>
        <v/>
      </c>
      <c r="F215" s="6" t="s">
        <v>984</v>
      </c>
      <c r="G215" s="6" t="s">
        <v>985</v>
      </c>
      <c r="H215" s="6" t="s">
        <v>1227</v>
      </c>
      <c r="I215" s="6" t="s">
        <v>1258</v>
      </c>
    </row>
    <row r="216" spans="1:9" x14ac:dyDescent="0.3">
      <c r="A216" s="33" t="s">
        <v>1365</v>
      </c>
      <c r="B216" s="31" t="s">
        <v>1366</v>
      </c>
      <c r="C216" s="11" t="str">
        <f t="shared" si="11"/>
        <v>José Atre</v>
      </c>
      <c r="D216" s="1" t="str">
        <f t="shared" si="10"/>
        <v/>
      </c>
      <c r="F216" s="22" t="s">
        <v>986</v>
      </c>
      <c r="G216" s="22" t="s">
        <v>987</v>
      </c>
      <c r="H216" s="6" t="s">
        <v>1519</v>
      </c>
      <c r="I216" s="6" t="s">
        <v>1260</v>
      </c>
    </row>
    <row r="217" spans="1:9" x14ac:dyDescent="0.3">
      <c r="A217" s="30" t="s">
        <v>245</v>
      </c>
      <c r="B217" s="32" t="s">
        <v>246</v>
      </c>
      <c r="C217" s="11" t="str">
        <f t="shared" si="11"/>
        <v>Jose Btte</v>
      </c>
      <c r="D217" s="1" t="str">
        <f t="shared" si="10"/>
        <v/>
      </c>
      <c r="F217" s="22" t="s">
        <v>1351</v>
      </c>
      <c r="G217" s="22" t="s">
        <v>1352</v>
      </c>
      <c r="H217" s="6" t="s">
        <v>1519</v>
      </c>
      <c r="I217" s="6" t="s">
        <v>1260</v>
      </c>
    </row>
    <row r="218" spans="1:9" x14ac:dyDescent="0.3">
      <c r="A218" s="33" t="s">
        <v>1000</v>
      </c>
      <c r="B218" s="31" t="s">
        <v>1001</v>
      </c>
      <c r="C218" s="11" t="str">
        <f t="shared" si="11"/>
        <v>José Chamba</v>
      </c>
      <c r="D218" s="1" t="str">
        <f t="shared" si="10"/>
        <v/>
      </c>
      <c r="F218" s="6" t="s">
        <v>1353</v>
      </c>
      <c r="G218" s="6" t="s">
        <v>1354</v>
      </c>
      <c r="H218" s="6" t="s">
        <v>1520</v>
      </c>
      <c r="I218" s="6" t="s">
        <v>1257</v>
      </c>
    </row>
    <row r="219" spans="1:9" x14ac:dyDescent="0.3">
      <c r="A219" s="30" t="s">
        <v>247</v>
      </c>
      <c r="B219" s="32" t="s">
        <v>248</v>
      </c>
      <c r="C219" s="11" t="str">
        <f t="shared" si="11"/>
        <v>José Luis Vera</v>
      </c>
      <c r="D219" s="1" t="str">
        <f t="shared" si="10"/>
        <v/>
      </c>
      <c r="F219" s="4" t="s">
        <v>518</v>
      </c>
      <c r="G219" s="5" t="s">
        <v>519</v>
      </c>
      <c r="H219" s="5" t="s">
        <v>520</v>
      </c>
      <c r="I219" s="6" t="s">
        <v>1257</v>
      </c>
    </row>
    <row r="220" spans="1:9" x14ac:dyDescent="0.3">
      <c r="A220" s="33" t="s">
        <v>249</v>
      </c>
      <c r="B220" s="31" t="s">
        <v>250</v>
      </c>
      <c r="D220" s="1"/>
      <c r="F220" s="6" t="s">
        <v>1355</v>
      </c>
      <c r="G220" s="6" t="s">
        <v>1356</v>
      </c>
      <c r="H220" s="6"/>
      <c r="I220" s="6"/>
    </row>
    <row r="221" spans="1:9" x14ac:dyDescent="0.3">
      <c r="A221" s="30" t="s">
        <v>1002</v>
      </c>
      <c r="B221" s="32" t="s">
        <v>164</v>
      </c>
      <c r="C221" s="11" t="str">
        <f>IFERROR(VLOOKUP(A221,$F$4:$H$243,1,0),0)</f>
        <v>Juan Cárdenas</v>
      </c>
      <c r="D221" s="1" t="str">
        <f t="shared" si="10"/>
        <v/>
      </c>
      <c r="F221" s="22" t="s">
        <v>1207</v>
      </c>
      <c r="G221" s="22" t="s">
        <v>989</v>
      </c>
      <c r="H221" s="6"/>
      <c r="I221" s="6" t="s">
        <v>1257</v>
      </c>
    </row>
    <row r="222" spans="1:9" x14ac:dyDescent="0.3">
      <c r="A222" s="33" t="s">
        <v>251</v>
      </c>
      <c r="B222" s="31" t="s">
        <v>252</v>
      </c>
      <c r="C222" s="11" t="str">
        <f>IFERROR(VLOOKUP(A222,$F$4:$H$243,1,0),0)</f>
        <v>Juan Carlos Guaycha</v>
      </c>
      <c r="D222" s="1" t="str">
        <f t="shared" si="10"/>
        <v/>
      </c>
      <c r="F222" s="6" t="s">
        <v>235</v>
      </c>
      <c r="G222" s="7" t="s">
        <v>236</v>
      </c>
      <c r="H222" s="7" t="s">
        <v>1521</v>
      </c>
      <c r="I222" s="6" t="s">
        <v>1262</v>
      </c>
    </row>
    <row r="223" spans="1:9" x14ac:dyDescent="0.3">
      <c r="A223" s="30" t="s">
        <v>1367</v>
      </c>
      <c r="B223" s="32" t="s">
        <v>1368</v>
      </c>
      <c r="D223" s="1"/>
      <c r="F223" s="22" t="s">
        <v>1357</v>
      </c>
      <c r="G223" s="22" t="s">
        <v>1358</v>
      </c>
      <c r="H223" s="6" t="s">
        <v>1522</v>
      </c>
      <c r="I223" s="6" t="s">
        <v>1258</v>
      </c>
    </row>
    <row r="224" spans="1:9" x14ac:dyDescent="0.3">
      <c r="A224" s="33" t="s">
        <v>253</v>
      </c>
      <c r="B224" s="31" t="s">
        <v>254</v>
      </c>
      <c r="D224" s="1"/>
      <c r="F224" s="42" t="s">
        <v>237</v>
      </c>
      <c r="G224" s="5" t="s">
        <v>238</v>
      </c>
      <c r="H224" s="5"/>
      <c r="I224" s="6" t="s">
        <v>1267</v>
      </c>
    </row>
    <row r="225" spans="1:9" x14ac:dyDescent="0.3">
      <c r="A225" s="30" t="s">
        <v>255</v>
      </c>
      <c r="B225" s="32" t="s">
        <v>256</v>
      </c>
      <c r="C225" s="11">
        <f t="shared" ref="C225:C234" si="12">IFERROR(VLOOKUP(A225,$F$4:$H$243,1,0),0)</f>
        <v>0</v>
      </c>
      <c r="D225" s="1" t="str">
        <f t="shared" si="10"/>
        <v>Cliente Nuevo</v>
      </c>
      <c r="F225" s="6" t="s">
        <v>990</v>
      </c>
      <c r="G225" s="6" t="s">
        <v>991</v>
      </c>
      <c r="H225" s="6"/>
      <c r="I225" s="6" t="s">
        <v>1267</v>
      </c>
    </row>
    <row r="226" spans="1:9" x14ac:dyDescent="0.3">
      <c r="A226" s="33" t="s">
        <v>1003</v>
      </c>
      <c r="B226" s="31" t="s">
        <v>1004</v>
      </c>
      <c r="C226" s="11">
        <f t="shared" si="12"/>
        <v>0</v>
      </c>
      <c r="D226" s="1" t="str">
        <f t="shared" si="10"/>
        <v>Cliente Nuevo</v>
      </c>
      <c r="F226" s="22" t="s">
        <v>992</v>
      </c>
      <c r="G226" s="22" t="s">
        <v>993</v>
      </c>
      <c r="H226" s="7" t="s">
        <v>1521</v>
      </c>
      <c r="I226" s="6" t="s">
        <v>1258</v>
      </c>
    </row>
    <row r="227" spans="1:9" x14ac:dyDescent="0.3">
      <c r="A227" s="30" t="s">
        <v>257</v>
      </c>
      <c r="B227" s="32" t="s">
        <v>258</v>
      </c>
      <c r="C227" s="11">
        <f t="shared" si="12"/>
        <v>0</v>
      </c>
      <c r="D227" s="1" t="str">
        <f t="shared" si="10"/>
        <v>Cliente Nuevo</v>
      </c>
      <c r="F227" s="6" t="s">
        <v>239</v>
      </c>
      <c r="G227" s="7" t="s">
        <v>240</v>
      </c>
      <c r="H227" s="7"/>
      <c r="I227" s="6" t="s">
        <v>1267</v>
      </c>
    </row>
    <row r="228" spans="1:9" x14ac:dyDescent="0.3">
      <c r="A228" s="33" t="s">
        <v>582</v>
      </c>
      <c r="B228" s="31" t="s">
        <v>583</v>
      </c>
      <c r="C228" s="11">
        <f t="shared" si="12"/>
        <v>0</v>
      </c>
      <c r="D228" s="1" t="str">
        <f t="shared" si="10"/>
        <v>Cliente Nuevo</v>
      </c>
      <c r="F228" s="4" t="s">
        <v>241</v>
      </c>
      <c r="G228" s="5" t="s">
        <v>242</v>
      </c>
      <c r="H228" s="5"/>
      <c r="I228" s="6" t="s">
        <v>1267</v>
      </c>
    </row>
    <row r="229" spans="1:9" x14ac:dyDescent="0.3">
      <c r="A229" s="30" t="s">
        <v>259</v>
      </c>
      <c r="B229" s="32" t="s">
        <v>260</v>
      </c>
      <c r="C229" s="11">
        <f t="shared" si="12"/>
        <v>0</v>
      </c>
      <c r="D229" s="1" t="str">
        <f t="shared" si="10"/>
        <v>Cliente Nuevo</v>
      </c>
      <c r="F229" s="22" t="s">
        <v>1359</v>
      </c>
      <c r="G229" s="22" t="s">
        <v>1360</v>
      </c>
      <c r="H229" s="6"/>
      <c r="I229" s="6"/>
    </row>
    <row r="230" spans="1:9" x14ac:dyDescent="0.3">
      <c r="A230" s="33" t="s">
        <v>1005</v>
      </c>
      <c r="B230" s="31" t="s">
        <v>1006</v>
      </c>
      <c r="C230" s="11">
        <f t="shared" si="12"/>
        <v>0</v>
      </c>
      <c r="D230" s="1" t="str">
        <f t="shared" si="10"/>
        <v>Cliente Nuevo</v>
      </c>
      <c r="F230" s="6" t="s">
        <v>994</v>
      </c>
      <c r="G230" s="6" t="s">
        <v>995</v>
      </c>
      <c r="H230" s="6" t="s">
        <v>1523</v>
      </c>
      <c r="I230" s="6" t="s">
        <v>1257</v>
      </c>
    </row>
    <row r="231" spans="1:9" x14ac:dyDescent="0.3">
      <c r="A231" s="30" t="s">
        <v>261</v>
      </c>
      <c r="B231" s="32" t="s">
        <v>262</v>
      </c>
      <c r="C231" s="11">
        <f t="shared" si="12"/>
        <v>0</v>
      </c>
      <c r="D231" s="1" t="str">
        <f t="shared" si="10"/>
        <v>Cliente Nuevo</v>
      </c>
      <c r="F231" s="22" t="s">
        <v>996</v>
      </c>
      <c r="G231" s="22" t="s">
        <v>997</v>
      </c>
      <c r="H231" s="6"/>
      <c r="I231" s="6" t="s">
        <v>1267</v>
      </c>
    </row>
    <row r="232" spans="1:9" x14ac:dyDescent="0.3">
      <c r="A232" s="33" t="s">
        <v>1007</v>
      </c>
      <c r="B232" s="31" t="s">
        <v>1008</v>
      </c>
      <c r="C232" s="11">
        <f t="shared" si="12"/>
        <v>0</v>
      </c>
      <c r="D232" s="1" t="str">
        <f t="shared" si="10"/>
        <v>Cliente Nuevo</v>
      </c>
      <c r="F232" s="6" t="s">
        <v>243</v>
      </c>
      <c r="G232" s="7" t="s">
        <v>244</v>
      </c>
      <c r="H232" s="7"/>
      <c r="I232" s="6" t="s">
        <v>1267</v>
      </c>
    </row>
    <row r="233" spans="1:9" x14ac:dyDescent="0.3">
      <c r="A233" s="30" t="s">
        <v>1009</v>
      </c>
      <c r="B233" s="32" t="s">
        <v>1010</v>
      </c>
      <c r="C233" s="11">
        <f t="shared" si="12"/>
        <v>0</v>
      </c>
      <c r="D233" s="1" t="str">
        <f t="shared" si="10"/>
        <v>Cliente Nuevo</v>
      </c>
      <c r="F233" s="4" t="s">
        <v>528</v>
      </c>
      <c r="G233" s="5" t="s">
        <v>148</v>
      </c>
      <c r="H233" s="5" t="s">
        <v>527</v>
      </c>
      <c r="I233" s="6" t="s">
        <v>1258</v>
      </c>
    </row>
    <row r="234" spans="1:9" x14ac:dyDescent="0.3">
      <c r="A234" s="33" t="s">
        <v>263</v>
      </c>
      <c r="B234" s="31" t="s">
        <v>264</v>
      </c>
      <c r="C234" s="11">
        <f t="shared" si="12"/>
        <v>0</v>
      </c>
      <c r="D234" s="1" t="str">
        <f t="shared" si="10"/>
        <v>Cliente Nuevo</v>
      </c>
      <c r="F234" s="44" t="s">
        <v>1361</v>
      </c>
      <c r="G234" s="22" t="s">
        <v>1362</v>
      </c>
      <c r="H234" s="6"/>
      <c r="I234" s="6"/>
    </row>
    <row r="235" spans="1:9" x14ac:dyDescent="0.3">
      <c r="A235" s="30" t="s">
        <v>1369</v>
      </c>
      <c r="B235" s="32" t="s">
        <v>1370</v>
      </c>
      <c r="C235" s="11" t="str">
        <f>IFERROR(VLOOKUP(A235,$F$4:$H$469,1,0),0)</f>
        <v>Lady Villa 106</v>
      </c>
      <c r="D235" s="1" t="str">
        <f t="shared" si="10"/>
        <v/>
      </c>
      <c r="F235" s="6" t="s">
        <v>1363</v>
      </c>
      <c r="G235" s="6" t="s">
        <v>1364</v>
      </c>
      <c r="H235" s="6"/>
      <c r="I235" s="6" t="s">
        <v>1267</v>
      </c>
    </row>
    <row r="236" spans="1:9" x14ac:dyDescent="0.3">
      <c r="A236" s="33" t="s">
        <v>265</v>
      </c>
      <c r="B236" s="31" t="s">
        <v>266</v>
      </c>
      <c r="C236" s="11">
        <f t="shared" ref="C236:C243" si="13">IFERROR(VLOOKUP(A236,$F$4:$H$243,1,0),0)</f>
        <v>0</v>
      </c>
      <c r="D236" s="1" t="str">
        <f t="shared" si="10"/>
        <v>Cliente Nuevo</v>
      </c>
      <c r="F236" s="22" t="s">
        <v>998</v>
      </c>
      <c r="G236" s="22" t="s">
        <v>999</v>
      </c>
      <c r="H236" s="6"/>
      <c r="I236" s="6" t="s">
        <v>1267</v>
      </c>
    </row>
    <row r="237" spans="1:9" x14ac:dyDescent="0.3">
      <c r="A237" s="30" t="s">
        <v>1371</v>
      </c>
      <c r="B237" s="32" t="s">
        <v>1372</v>
      </c>
      <c r="C237" s="11">
        <f t="shared" si="13"/>
        <v>0</v>
      </c>
      <c r="D237" s="1" t="str">
        <f t="shared" si="10"/>
        <v>Cliente Nuevo</v>
      </c>
      <c r="F237" s="6" t="s">
        <v>1365</v>
      </c>
      <c r="G237" s="6" t="s">
        <v>1366</v>
      </c>
      <c r="H237" s="6"/>
      <c r="I237" s="6" t="s">
        <v>1267</v>
      </c>
    </row>
    <row r="238" spans="1:9" x14ac:dyDescent="0.3">
      <c r="A238" s="33" t="s">
        <v>1371</v>
      </c>
      <c r="B238" s="31" t="s">
        <v>1373</v>
      </c>
      <c r="C238" s="11">
        <f t="shared" si="13"/>
        <v>0</v>
      </c>
      <c r="D238" s="1" t="str">
        <f t="shared" si="10"/>
        <v>Cliente Nuevo</v>
      </c>
      <c r="F238" s="6" t="s">
        <v>245</v>
      </c>
      <c r="G238" s="7" t="s">
        <v>246</v>
      </c>
      <c r="H238" s="7"/>
      <c r="I238" s="6" t="s">
        <v>1258</v>
      </c>
    </row>
    <row r="239" spans="1:9" x14ac:dyDescent="0.3">
      <c r="A239" s="30" t="s">
        <v>1011</v>
      </c>
      <c r="B239" s="32" t="s">
        <v>1012</v>
      </c>
      <c r="C239" s="11">
        <f t="shared" si="13"/>
        <v>0</v>
      </c>
      <c r="D239" s="1" t="str">
        <f t="shared" si="10"/>
        <v>Cliente Nuevo</v>
      </c>
      <c r="F239" s="22" t="s">
        <v>1000</v>
      </c>
      <c r="G239" s="22" t="s">
        <v>1001</v>
      </c>
      <c r="H239" s="6"/>
      <c r="I239" s="6" t="s">
        <v>1253</v>
      </c>
    </row>
    <row r="240" spans="1:9" x14ac:dyDescent="0.3">
      <c r="A240" s="33" t="s">
        <v>267</v>
      </c>
      <c r="B240" s="31" t="s">
        <v>268</v>
      </c>
      <c r="C240" s="11">
        <f t="shared" si="13"/>
        <v>0</v>
      </c>
      <c r="D240" s="1" t="str">
        <f t="shared" si="10"/>
        <v>Cliente Nuevo</v>
      </c>
      <c r="F240" s="4" t="s">
        <v>247</v>
      </c>
      <c r="G240" s="5" t="s">
        <v>248</v>
      </c>
      <c r="H240" s="5"/>
      <c r="I240" s="6" t="s">
        <v>1267</v>
      </c>
    </row>
    <row r="241" spans="1:9" x14ac:dyDescent="0.3">
      <c r="A241" s="30" t="s">
        <v>1374</v>
      </c>
      <c r="B241" s="32" t="s">
        <v>1375</v>
      </c>
      <c r="C241" s="11">
        <f t="shared" si="13"/>
        <v>0</v>
      </c>
      <c r="D241" s="1" t="str">
        <f t="shared" si="10"/>
        <v>Cliente Nuevo</v>
      </c>
      <c r="F241" s="6" t="s">
        <v>249</v>
      </c>
      <c r="G241" s="7" t="s">
        <v>250</v>
      </c>
      <c r="H241" s="7"/>
      <c r="I241" s="6" t="s">
        <v>1267</v>
      </c>
    </row>
    <row r="242" spans="1:9" x14ac:dyDescent="0.3">
      <c r="A242" s="33" t="s">
        <v>269</v>
      </c>
      <c r="B242" s="31" t="s">
        <v>270</v>
      </c>
      <c r="C242" s="11">
        <f t="shared" si="13"/>
        <v>0</v>
      </c>
      <c r="D242" s="1" t="str">
        <f t="shared" si="10"/>
        <v>Cliente Nuevo</v>
      </c>
      <c r="F242" s="6" t="s">
        <v>1002</v>
      </c>
      <c r="G242" s="6" t="s">
        <v>164</v>
      </c>
      <c r="H242" s="6"/>
      <c r="I242" s="6" t="s">
        <v>1267</v>
      </c>
    </row>
    <row r="243" spans="1:9" x14ac:dyDescent="0.3">
      <c r="A243" s="30" t="s">
        <v>1376</v>
      </c>
      <c r="B243" s="32" t="s">
        <v>1377</v>
      </c>
      <c r="C243" s="11">
        <f t="shared" si="13"/>
        <v>0</v>
      </c>
      <c r="D243" s="1" t="str">
        <f t="shared" si="10"/>
        <v>Cliente Nuevo</v>
      </c>
      <c r="F243" s="4" t="s">
        <v>251</v>
      </c>
      <c r="G243" s="5" t="s">
        <v>252</v>
      </c>
      <c r="H243" s="5" t="s">
        <v>492</v>
      </c>
      <c r="I243" s="6" t="s">
        <v>1267</v>
      </c>
    </row>
    <row r="244" spans="1:9" x14ac:dyDescent="0.3">
      <c r="A244" s="33" t="s">
        <v>271</v>
      </c>
      <c r="B244" s="31" t="s">
        <v>272</v>
      </c>
      <c r="C244" s="11" t="str">
        <f>IFERROR(VLOOKUP(A244,$F$4:$H$979,1,0),0)</f>
        <v>Lilia Btte</v>
      </c>
      <c r="D244" s="1" t="str">
        <f t="shared" si="10"/>
        <v/>
      </c>
      <c r="F244" s="6" t="s">
        <v>253</v>
      </c>
      <c r="G244" s="7" t="s">
        <v>254</v>
      </c>
      <c r="H244" s="7" t="s">
        <v>1524</v>
      </c>
      <c r="I244" s="6" t="s">
        <v>1257</v>
      </c>
    </row>
    <row r="245" spans="1:9" x14ac:dyDescent="0.3">
      <c r="A245" s="30" t="s">
        <v>1013</v>
      </c>
      <c r="B245" s="32" t="s">
        <v>1014</v>
      </c>
      <c r="C245" s="11" t="str">
        <f>IFERROR(VLOOKUP(A245,$F$4:$H$979,1,0),0)</f>
        <v>Liliana Tandazo</v>
      </c>
      <c r="D245" s="1"/>
      <c r="F245" s="4" t="s">
        <v>255</v>
      </c>
      <c r="G245" s="5" t="s">
        <v>256</v>
      </c>
      <c r="H245" s="5"/>
      <c r="I245" s="6" t="s">
        <v>1267</v>
      </c>
    </row>
    <row r="246" spans="1:9" x14ac:dyDescent="0.3">
      <c r="A246" s="33" t="s">
        <v>584</v>
      </c>
      <c r="B246" s="31" t="s">
        <v>585</v>
      </c>
      <c r="C246" s="11" t="str">
        <f>IFERROR(VLOOKUP(A246,$F$4:$H$979,1,0),0)</f>
        <v>Lillan Grisales</v>
      </c>
      <c r="D246" s="1" t="str">
        <f t="shared" si="10"/>
        <v/>
      </c>
      <c r="F246" s="6" t="s">
        <v>1003</v>
      </c>
      <c r="G246" s="6" t="s">
        <v>1004</v>
      </c>
      <c r="H246" s="6" t="s">
        <v>1228</v>
      </c>
      <c r="I246" s="6" t="s">
        <v>1261</v>
      </c>
    </row>
    <row r="247" spans="1:9" x14ac:dyDescent="0.3">
      <c r="A247" s="30" t="s">
        <v>273</v>
      </c>
      <c r="B247" s="32" t="s">
        <v>274</v>
      </c>
      <c r="C247" s="11" t="str">
        <f>IFERROR(VLOOKUP(A247,$F$4:$H$979,1,0),0)</f>
        <v>Linda Bustamante</v>
      </c>
      <c r="D247" s="1" t="str">
        <f t="shared" si="10"/>
        <v/>
      </c>
      <c r="F247" s="6" t="s">
        <v>257</v>
      </c>
      <c r="G247" s="7" t="s">
        <v>258</v>
      </c>
      <c r="H247" s="7"/>
      <c r="I247" s="6" t="s">
        <v>1267</v>
      </c>
    </row>
    <row r="248" spans="1:9" x14ac:dyDescent="0.3">
      <c r="A248" s="33" t="s">
        <v>275</v>
      </c>
      <c r="B248" s="31" t="s">
        <v>276</v>
      </c>
      <c r="C248" s="11" t="str">
        <f>IFERROR(VLOOKUP(A248,$F$4:$H$979,1,0),0)</f>
        <v>Lizardo</v>
      </c>
      <c r="D248" s="1" t="str">
        <f t="shared" si="10"/>
        <v/>
      </c>
      <c r="F248" s="6" t="s">
        <v>582</v>
      </c>
      <c r="G248" s="12" t="s">
        <v>583</v>
      </c>
      <c r="H248" s="6"/>
      <c r="I248" s="6" t="s">
        <v>1267</v>
      </c>
    </row>
    <row r="249" spans="1:9" x14ac:dyDescent="0.3">
      <c r="A249" s="30" t="s">
        <v>1015</v>
      </c>
      <c r="B249" s="32" t="s">
        <v>1016</v>
      </c>
      <c r="C249" s="11" t="str">
        <f>IFERROR(VLOOKUP(A249,$F$4:$H$979,1,0),0)</f>
        <v>Lolita Poma</v>
      </c>
      <c r="D249" s="1" t="str">
        <f t="shared" si="10"/>
        <v/>
      </c>
      <c r="F249" s="4" t="s">
        <v>259</v>
      </c>
      <c r="G249" s="5" t="s">
        <v>260</v>
      </c>
      <c r="H249" s="5"/>
      <c r="I249" s="6" t="s">
        <v>1267</v>
      </c>
    </row>
    <row r="250" spans="1:9" x14ac:dyDescent="0.3">
      <c r="A250" s="33" t="s">
        <v>277</v>
      </c>
      <c r="B250" s="31" t="s">
        <v>278</v>
      </c>
      <c r="C250" s="11" t="str">
        <f>IFERROR(VLOOKUP(A250,$F$4:$H$979,1,0),0)</f>
        <v>Lorgia Jumbo</v>
      </c>
      <c r="D250" s="1" t="str">
        <f t="shared" si="10"/>
        <v/>
      </c>
      <c r="F250" s="6" t="s">
        <v>533</v>
      </c>
      <c r="G250" s="7" t="s">
        <v>534</v>
      </c>
      <c r="H250" s="7" t="s">
        <v>535</v>
      </c>
      <c r="I250" s="6" t="s">
        <v>1267</v>
      </c>
    </row>
    <row r="251" spans="1:9" x14ac:dyDescent="0.3">
      <c r="A251" s="30" t="s">
        <v>1017</v>
      </c>
      <c r="B251" s="32" t="s">
        <v>1018</v>
      </c>
      <c r="C251" s="11" t="str">
        <f>IFERROR(VLOOKUP(A251,$F$4:$H$979,1,0),0)</f>
        <v>Lorgia Jumbo Tienda Amazonas</v>
      </c>
      <c r="D251" s="1" t="str">
        <f t="shared" si="10"/>
        <v/>
      </c>
      <c r="F251" s="6" t="s">
        <v>1005</v>
      </c>
      <c r="G251" s="6" t="s">
        <v>1006</v>
      </c>
      <c r="H251" s="6"/>
      <c r="I251" s="6" t="s">
        <v>1267</v>
      </c>
    </row>
    <row r="252" spans="1:9" x14ac:dyDescent="0.3">
      <c r="A252" s="33" t="s">
        <v>279</v>
      </c>
      <c r="B252" s="31" t="s">
        <v>280</v>
      </c>
      <c r="C252" s="11" t="str">
        <f>IFERROR(VLOOKUP(A252,$F$4:$H$979,1,0),0)</f>
        <v>Lucarqui 2</v>
      </c>
      <c r="D252" s="1" t="str">
        <f t="shared" si="10"/>
        <v/>
      </c>
      <c r="F252" s="4" t="s">
        <v>261</v>
      </c>
      <c r="G252" s="5" t="s">
        <v>262</v>
      </c>
      <c r="H252" s="5" t="s">
        <v>487</v>
      </c>
      <c r="I252" s="6" t="s">
        <v>1261</v>
      </c>
    </row>
    <row r="253" spans="1:9" x14ac:dyDescent="0.3">
      <c r="A253" s="30" t="s">
        <v>281</v>
      </c>
      <c r="B253" s="32" t="s">
        <v>282</v>
      </c>
      <c r="C253" s="11" t="str">
        <f>IFERROR(VLOOKUP(A253,$F$4:$H$979,1,0),0)</f>
        <v>Luchita Chalan</v>
      </c>
      <c r="D253" s="1" t="str">
        <f t="shared" si="10"/>
        <v/>
      </c>
      <c r="F253" s="6" t="s">
        <v>1007</v>
      </c>
      <c r="G253" s="6" t="s">
        <v>1008</v>
      </c>
      <c r="H253" s="6" t="s">
        <v>1229</v>
      </c>
      <c r="I253" s="6" t="s">
        <v>1254</v>
      </c>
    </row>
    <row r="254" spans="1:9" x14ac:dyDescent="0.3">
      <c r="A254" s="33" t="s">
        <v>283</v>
      </c>
      <c r="B254" s="31" t="s">
        <v>284</v>
      </c>
      <c r="C254" s="11" t="str">
        <f>IFERROR(VLOOKUP(A254,$F$4:$H$979,1,0),0)</f>
        <v>Lucho Grand</v>
      </c>
      <c r="D254" s="1" t="str">
        <f t="shared" si="10"/>
        <v/>
      </c>
      <c r="F254" s="22" t="s">
        <v>1009</v>
      </c>
      <c r="G254" s="22" t="s">
        <v>1010</v>
      </c>
      <c r="H254" s="6" t="s">
        <v>1229</v>
      </c>
      <c r="I254" s="6" t="s">
        <v>1254</v>
      </c>
    </row>
    <row r="255" spans="1:9" x14ac:dyDescent="0.3">
      <c r="A255" s="30" t="s">
        <v>285</v>
      </c>
      <c r="B255" s="32" t="s">
        <v>286</v>
      </c>
      <c r="C255" s="11" t="str">
        <f>IFERROR(VLOOKUP(A255,$F$4:$H$979,1,0),0)</f>
        <v>Lucho Jaya</v>
      </c>
      <c r="D255" s="1" t="str">
        <f t="shared" ref="D255:D276" si="14">IF(C255=0,"Cliente Nuevo","")</f>
        <v/>
      </c>
      <c r="F255" s="6" t="s">
        <v>263</v>
      </c>
      <c r="G255" s="7" t="s">
        <v>264</v>
      </c>
      <c r="H255" s="7"/>
      <c r="I255" s="6" t="s">
        <v>1267</v>
      </c>
    </row>
    <row r="256" spans="1:9" x14ac:dyDescent="0.3">
      <c r="A256" s="33" t="s">
        <v>287</v>
      </c>
      <c r="B256" s="31" t="s">
        <v>1019</v>
      </c>
      <c r="C256" s="11" t="str">
        <f>IFERROR(VLOOKUP(A256,$F$4:$H$979,1,0),0)</f>
        <v>Luis Conde</v>
      </c>
      <c r="D256" s="1" t="str">
        <f t="shared" si="14"/>
        <v/>
      </c>
      <c r="F256" s="22" t="s">
        <v>1369</v>
      </c>
      <c r="G256" s="22" t="s">
        <v>1370</v>
      </c>
      <c r="H256" s="6" t="s">
        <v>1525</v>
      </c>
      <c r="I256" s="6" t="s">
        <v>1262</v>
      </c>
    </row>
    <row r="257" spans="1:9" x14ac:dyDescent="0.3">
      <c r="A257" s="30" t="s">
        <v>287</v>
      </c>
      <c r="B257" s="32" t="s">
        <v>288</v>
      </c>
      <c r="C257" s="11" t="str">
        <f>IFERROR(VLOOKUP(A257,$F$4:$H$979,1,0),0)</f>
        <v>Luis Conde</v>
      </c>
      <c r="D257" s="1" t="str">
        <f t="shared" si="14"/>
        <v/>
      </c>
      <c r="F257" s="6" t="s">
        <v>265</v>
      </c>
      <c r="G257" s="7" t="s">
        <v>266</v>
      </c>
      <c r="H257" s="7"/>
      <c r="I257" s="6" t="s">
        <v>1255</v>
      </c>
    </row>
    <row r="258" spans="1:9" x14ac:dyDescent="0.3">
      <c r="A258" s="33" t="s">
        <v>1020</v>
      </c>
      <c r="B258" s="31" t="s">
        <v>1021</v>
      </c>
      <c r="C258" s="11" t="str">
        <f>IFERROR(VLOOKUP(A258,$F$4:$H$979,1,0),0)</f>
        <v>Luis Ordoñez</v>
      </c>
      <c r="D258" s="1" t="str">
        <f t="shared" si="14"/>
        <v/>
      </c>
      <c r="F258" s="22" t="s">
        <v>1371</v>
      </c>
      <c r="G258" s="22" t="s">
        <v>1372</v>
      </c>
      <c r="H258" s="6" t="s">
        <v>1526</v>
      </c>
      <c r="I258" s="6" t="s">
        <v>1500</v>
      </c>
    </row>
    <row r="259" spans="1:9" x14ac:dyDescent="0.3">
      <c r="A259" s="30" t="s">
        <v>289</v>
      </c>
      <c r="B259" s="32" t="s">
        <v>290</v>
      </c>
      <c r="C259" s="11" t="str">
        <f>IFERROR(VLOOKUP(A259,$F$4:$H$979,1,0),0)</f>
        <v>LuisG Villa 229</v>
      </c>
      <c r="D259" s="1" t="str">
        <f t="shared" si="14"/>
        <v/>
      </c>
      <c r="F259" s="6" t="s">
        <v>1371</v>
      </c>
      <c r="G259" s="6" t="s">
        <v>1373</v>
      </c>
      <c r="H259" s="6" t="s">
        <v>1526</v>
      </c>
      <c r="I259" s="6" t="s">
        <v>1500</v>
      </c>
    </row>
    <row r="260" spans="1:9" x14ac:dyDescent="0.3">
      <c r="A260" s="33" t="s">
        <v>1378</v>
      </c>
      <c r="B260" s="31" t="s">
        <v>1379</v>
      </c>
      <c r="C260" s="11" t="str">
        <f>IFERROR(VLOOKUP(A260,$F$4:$H$979,1,0),0)</f>
        <v>Luz Yaguache</v>
      </c>
      <c r="D260" s="1" t="str">
        <f t="shared" si="14"/>
        <v/>
      </c>
      <c r="F260" s="6" t="s">
        <v>1011</v>
      </c>
      <c r="G260" s="6" t="s">
        <v>1012</v>
      </c>
      <c r="H260" s="6" t="s">
        <v>1230</v>
      </c>
      <c r="I260" s="6" t="s">
        <v>1257</v>
      </c>
    </row>
    <row r="261" spans="1:9" x14ac:dyDescent="0.3">
      <c r="A261" s="30" t="s">
        <v>1380</v>
      </c>
      <c r="B261" s="32" t="s">
        <v>1381</v>
      </c>
      <c r="C261" s="11" t="str">
        <f>IFERROR(VLOOKUP(A261,$F$4:$H$979,1,0),0)</f>
        <v>Maestro Over Gonza</v>
      </c>
      <c r="D261" s="1" t="str">
        <f t="shared" si="14"/>
        <v/>
      </c>
      <c r="F261" s="4" t="s">
        <v>267</v>
      </c>
      <c r="G261" s="5" t="s">
        <v>268</v>
      </c>
      <c r="H261" s="5"/>
      <c r="I261" s="6" t="s">
        <v>1267</v>
      </c>
    </row>
    <row r="262" spans="1:9" x14ac:dyDescent="0.3">
      <c r="A262" s="33" t="s">
        <v>291</v>
      </c>
      <c r="B262" s="31" t="s">
        <v>292</v>
      </c>
      <c r="C262" s="11" t="str">
        <f>IFERROR(VLOOKUP(A262,$F$4:$H$979,1,0),0)</f>
        <v>Manuel Jaya</v>
      </c>
      <c r="D262" s="1" t="str">
        <f t="shared" si="14"/>
        <v/>
      </c>
      <c r="F262" s="22" t="s">
        <v>1374</v>
      </c>
      <c r="G262" s="22" t="s">
        <v>1375</v>
      </c>
      <c r="H262" s="6"/>
      <c r="I262" s="6"/>
    </row>
    <row r="263" spans="1:9" x14ac:dyDescent="0.3">
      <c r="A263" s="30" t="s">
        <v>1022</v>
      </c>
      <c r="B263" s="32" t="s">
        <v>1023</v>
      </c>
      <c r="C263" s="11" t="str">
        <f>IFERROR(VLOOKUP(A263,$F$4:$H$979,1,0),0)</f>
        <v>Manuel Jaya JC</v>
      </c>
      <c r="D263" s="1" t="str">
        <f t="shared" si="14"/>
        <v/>
      </c>
      <c r="F263" s="6" t="s">
        <v>269</v>
      </c>
      <c r="G263" s="7" t="s">
        <v>270</v>
      </c>
      <c r="H263" s="7" t="s">
        <v>1231</v>
      </c>
      <c r="I263" s="6" t="s">
        <v>1260</v>
      </c>
    </row>
    <row r="264" spans="1:9" x14ac:dyDescent="0.3">
      <c r="A264" s="33" t="s">
        <v>1024</v>
      </c>
      <c r="B264" s="31" t="s">
        <v>1025</v>
      </c>
      <c r="C264" s="11" t="str">
        <f>IFERROR(VLOOKUP(A264,$F$4:$H$979,1,0),0)</f>
        <v>Manuel Jumbo</v>
      </c>
      <c r="D264" s="1" t="str">
        <f t="shared" si="14"/>
        <v/>
      </c>
      <c r="F264" s="22" t="s">
        <v>1376</v>
      </c>
      <c r="G264" s="22" t="s">
        <v>1377</v>
      </c>
      <c r="H264" s="6"/>
      <c r="I264" s="6"/>
    </row>
    <row r="265" spans="1:9" x14ac:dyDescent="0.3">
      <c r="A265" s="30" t="s">
        <v>293</v>
      </c>
      <c r="B265" s="32" t="s">
        <v>294</v>
      </c>
      <c r="C265" s="11" t="str">
        <f>IFERROR(VLOOKUP(A265,$F$4:$H$979,1,0),0)</f>
        <v>Manuel Mora</v>
      </c>
      <c r="D265" s="1" t="str">
        <f t="shared" si="14"/>
        <v/>
      </c>
      <c r="F265" s="4" t="s">
        <v>271</v>
      </c>
      <c r="G265" s="5" t="s">
        <v>272</v>
      </c>
      <c r="H265" s="5" t="s">
        <v>488</v>
      </c>
      <c r="I265" s="6" t="s">
        <v>1257</v>
      </c>
    </row>
    <row r="266" spans="1:9" x14ac:dyDescent="0.3">
      <c r="A266" s="33" t="s">
        <v>1382</v>
      </c>
      <c r="B266" s="31" t="s">
        <v>1383</v>
      </c>
      <c r="C266" s="11" t="str">
        <f>IFERROR(VLOOKUP(A266,$F$4:$H$979,1,0),0)</f>
        <v>Manuela Rodríguez</v>
      </c>
      <c r="D266" s="1" t="str">
        <f t="shared" si="14"/>
        <v/>
      </c>
      <c r="F266" s="6" t="s">
        <v>1013</v>
      </c>
      <c r="G266" s="6" t="s">
        <v>1014</v>
      </c>
      <c r="H266" s="6"/>
      <c r="I266" s="6" t="s">
        <v>1267</v>
      </c>
    </row>
    <row r="267" spans="1:9" x14ac:dyDescent="0.3">
      <c r="A267" s="30" t="s">
        <v>586</v>
      </c>
      <c r="B267" s="32" t="s">
        <v>587</v>
      </c>
      <c r="C267" s="11" t="str">
        <f>IFERROR(VLOOKUP(A267,$F$4:$H$979,1,0),0)</f>
        <v>Marcela Narvaez</v>
      </c>
      <c r="D267" s="1" t="str">
        <f t="shared" si="14"/>
        <v/>
      </c>
      <c r="F267" s="6" t="s">
        <v>584</v>
      </c>
      <c r="G267" s="12" t="s">
        <v>585</v>
      </c>
      <c r="H267" s="6"/>
      <c r="I267" s="6" t="s">
        <v>1267</v>
      </c>
    </row>
    <row r="268" spans="1:9" x14ac:dyDescent="0.3">
      <c r="A268" s="33" t="s">
        <v>1026</v>
      </c>
      <c r="B268" s="31" t="s">
        <v>1027</v>
      </c>
      <c r="C268" s="11" t="str">
        <f>IFERROR(VLOOKUP(A268,$F$4:$H$979,1,0),0)</f>
        <v>Marco Bustamante</v>
      </c>
      <c r="D268" s="1" t="str">
        <f t="shared" si="14"/>
        <v/>
      </c>
      <c r="F268" s="6" t="s">
        <v>273</v>
      </c>
      <c r="G268" s="7" t="s">
        <v>274</v>
      </c>
      <c r="H268" s="7" t="s">
        <v>1232</v>
      </c>
      <c r="I268" s="6" t="s">
        <v>1256</v>
      </c>
    </row>
    <row r="269" spans="1:9" x14ac:dyDescent="0.3">
      <c r="A269" s="30" t="s">
        <v>295</v>
      </c>
      <c r="B269" s="32" t="s">
        <v>296</v>
      </c>
      <c r="C269" s="11" t="str">
        <f>IFERROR(VLOOKUP(A269,$F$4:$H$979,1,0),0)</f>
        <v>Marco Silva</v>
      </c>
      <c r="D269" s="1" t="str">
        <f t="shared" si="14"/>
        <v/>
      </c>
      <c r="F269" s="4" t="s">
        <v>275</v>
      </c>
      <c r="G269" s="5" t="s">
        <v>276</v>
      </c>
      <c r="H269" s="5"/>
      <c r="I269" s="6" t="s">
        <v>1267</v>
      </c>
    </row>
    <row r="270" spans="1:9" x14ac:dyDescent="0.3">
      <c r="A270" s="33" t="s">
        <v>1028</v>
      </c>
      <c r="B270" s="31" t="s">
        <v>1029</v>
      </c>
      <c r="C270" s="11" t="str">
        <f>IFERROR(VLOOKUP(A270,$F$4:$H$979,1,0),0)</f>
        <v>Margarita Jumbo</v>
      </c>
      <c r="D270" s="1" t="str">
        <f t="shared" si="14"/>
        <v/>
      </c>
      <c r="F270" s="6" t="s">
        <v>1015</v>
      </c>
      <c r="G270" s="6" t="s">
        <v>1016</v>
      </c>
      <c r="H270" s="6" t="s">
        <v>1233</v>
      </c>
      <c r="I270" s="6" t="s">
        <v>1257</v>
      </c>
    </row>
    <row r="271" spans="1:9" x14ac:dyDescent="0.3">
      <c r="A271" s="30" t="s">
        <v>1384</v>
      </c>
      <c r="B271" s="32" t="s">
        <v>1385</v>
      </c>
      <c r="C271" s="11" t="str">
        <f>IFERROR(VLOOKUP(A271,$F$4:$H$979,1,0),0)</f>
        <v>María Elena Zhamumgui 🚗</v>
      </c>
      <c r="D271" s="1" t="str">
        <f t="shared" si="14"/>
        <v/>
      </c>
      <c r="F271" s="6" t="s">
        <v>277</v>
      </c>
      <c r="G271" s="7" t="s">
        <v>278</v>
      </c>
      <c r="H271" s="7"/>
      <c r="I271" s="6" t="s">
        <v>1267</v>
      </c>
    </row>
    <row r="272" spans="1:9" x14ac:dyDescent="0.3">
      <c r="A272" s="33" t="s">
        <v>1030</v>
      </c>
      <c r="B272" s="31" t="s">
        <v>1031</v>
      </c>
      <c r="C272" s="11" t="str">
        <f>IFERROR(VLOOKUP(A272,$F$4:$H$979,1,0),0)</f>
        <v>Maria Espinoza</v>
      </c>
      <c r="D272" s="1" t="str">
        <f t="shared" si="14"/>
        <v/>
      </c>
      <c r="F272" s="6" t="s">
        <v>1017</v>
      </c>
      <c r="G272" s="6" t="s">
        <v>1018</v>
      </c>
      <c r="H272" s="6" t="s">
        <v>1234</v>
      </c>
      <c r="I272" s="6" t="s">
        <v>1260</v>
      </c>
    </row>
    <row r="273" spans="1:9" x14ac:dyDescent="0.3">
      <c r="A273" s="30" t="s">
        <v>1032</v>
      </c>
      <c r="B273" s="32" t="s">
        <v>1033</v>
      </c>
      <c r="C273" s="11" t="str">
        <f>IFERROR(VLOOKUP(A273,$F$4:$H$979,1,0),0)</f>
        <v>María José Bustamante Día</v>
      </c>
      <c r="D273" s="1" t="str">
        <f t="shared" si="14"/>
        <v/>
      </c>
      <c r="F273" s="4" t="s">
        <v>279</v>
      </c>
      <c r="G273" s="5" t="s">
        <v>280</v>
      </c>
      <c r="H273" s="5"/>
      <c r="I273" s="6" t="s">
        <v>1267</v>
      </c>
    </row>
    <row r="274" spans="1:9" x14ac:dyDescent="0.3">
      <c r="A274" s="33" t="s">
        <v>1034</v>
      </c>
      <c r="B274" s="31" t="s">
        <v>1035</v>
      </c>
      <c r="C274" s="11" t="str">
        <f>IFERROR(VLOOKUP(A274,$F$4:$H$979,1,0),0)</f>
        <v>María Vera</v>
      </c>
      <c r="D274" s="1" t="str">
        <f t="shared" si="14"/>
        <v/>
      </c>
      <c r="F274" s="6" t="s">
        <v>281</v>
      </c>
      <c r="G274" s="7" t="s">
        <v>282</v>
      </c>
      <c r="H274" s="7" t="s">
        <v>494</v>
      </c>
      <c r="I274" s="6" t="s">
        <v>1260</v>
      </c>
    </row>
    <row r="275" spans="1:9" x14ac:dyDescent="0.3">
      <c r="A275" s="30" t="s">
        <v>297</v>
      </c>
      <c r="B275" s="32" t="s">
        <v>298</v>
      </c>
      <c r="C275" s="11" t="str">
        <f>IFERROR(VLOOKUP(A275,$F$4:$H$979,1,0),0)</f>
        <v>Maria Yaguachi</v>
      </c>
      <c r="D275" s="1" t="str">
        <f t="shared" si="14"/>
        <v/>
      </c>
      <c r="F275" s="4" t="s">
        <v>283</v>
      </c>
      <c r="G275" s="5" t="s">
        <v>284</v>
      </c>
      <c r="H275" s="5" t="s">
        <v>1235</v>
      </c>
      <c r="I275" s="6" t="s">
        <v>1267</v>
      </c>
    </row>
    <row r="276" spans="1:9" x14ac:dyDescent="0.3">
      <c r="A276" s="33" t="s">
        <v>1386</v>
      </c>
      <c r="B276" s="31" t="s">
        <v>1387</v>
      </c>
      <c r="C276" s="11" t="str">
        <f>IFERROR(VLOOKUP(A276,$F$4:$H$979,1,0),0)</f>
        <v>Maria Yaguachi 2</v>
      </c>
      <c r="D276" s="1" t="str">
        <f t="shared" si="14"/>
        <v/>
      </c>
      <c r="F276" s="6" t="s">
        <v>285</v>
      </c>
      <c r="G276" s="7" t="s">
        <v>286</v>
      </c>
      <c r="H276" s="7"/>
      <c r="I276" s="6" t="s">
        <v>1268</v>
      </c>
    </row>
    <row r="277" spans="1:9" x14ac:dyDescent="0.3">
      <c r="A277" s="30" t="s">
        <v>299</v>
      </c>
      <c r="B277" s="32" t="s">
        <v>300</v>
      </c>
      <c r="C277" s="11" t="str">
        <f>IFERROR(VLOOKUP(A277,$F$4:$H$979,1,0),0)</f>
        <v>Maricela</v>
      </c>
      <c r="F277" s="4" t="s">
        <v>287</v>
      </c>
      <c r="G277" s="5" t="s">
        <v>288</v>
      </c>
      <c r="H277" s="5" t="s">
        <v>489</v>
      </c>
      <c r="I277" s="6" t="s">
        <v>1263</v>
      </c>
    </row>
    <row r="278" spans="1:9" x14ac:dyDescent="0.3">
      <c r="A278" s="33" t="s">
        <v>1388</v>
      </c>
      <c r="B278" s="31" t="s">
        <v>1389</v>
      </c>
      <c r="C278" s="11" t="str">
        <f>IFERROR(VLOOKUP(A278,$F$4:$H$979,1,0),0)</f>
        <v>Maricruz Camacho</v>
      </c>
      <c r="F278" s="22" t="s">
        <v>1020</v>
      </c>
      <c r="G278" s="22" t="s">
        <v>1021</v>
      </c>
      <c r="H278" s="6"/>
      <c r="I278" s="6" t="s">
        <v>1267</v>
      </c>
    </row>
    <row r="279" spans="1:9" x14ac:dyDescent="0.3">
      <c r="A279" s="30" t="s">
        <v>1390</v>
      </c>
      <c r="B279" s="32" t="s">
        <v>1391</v>
      </c>
      <c r="C279" s="11" t="str">
        <f>IFERROR(VLOOKUP(A279,$F$4:$H$979,1,0),0)</f>
        <v>Mariela Granda</v>
      </c>
      <c r="F279" s="6" t="s">
        <v>289</v>
      </c>
      <c r="G279" s="7" t="s">
        <v>290</v>
      </c>
      <c r="H279" s="7" t="s">
        <v>1527</v>
      </c>
      <c r="I279" s="6" t="s">
        <v>1410</v>
      </c>
    </row>
    <row r="280" spans="1:9" x14ac:dyDescent="0.3">
      <c r="A280" s="33" t="s">
        <v>1036</v>
      </c>
      <c r="B280" s="31" t="s">
        <v>1037</v>
      </c>
      <c r="C280" s="11" t="str">
        <f>IFERROR(VLOOKUP(A280,$F$4:$H$979,1,0),0)</f>
        <v>Marilu Vallejo</v>
      </c>
      <c r="F280" s="6" t="s">
        <v>1378</v>
      </c>
      <c r="G280" s="6" t="s">
        <v>1379</v>
      </c>
      <c r="H280" s="6" t="s">
        <v>1528</v>
      </c>
      <c r="I280" s="6" t="s">
        <v>1256</v>
      </c>
    </row>
    <row r="281" spans="1:9" x14ac:dyDescent="0.3">
      <c r="A281" s="30" t="s">
        <v>301</v>
      </c>
      <c r="B281" s="32" t="s">
        <v>302</v>
      </c>
      <c r="C281" s="11" t="str">
        <f>IFERROR(VLOOKUP(A281,$F$4:$H$979,1,0),0)</f>
        <v>Mario Ambuludi</v>
      </c>
      <c r="F281" s="22" t="s">
        <v>1380</v>
      </c>
      <c r="G281" s="22" t="s">
        <v>1381</v>
      </c>
      <c r="H281" s="6"/>
      <c r="I281" s="6"/>
    </row>
    <row r="282" spans="1:9" x14ac:dyDescent="0.3">
      <c r="A282" s="33" t="s">
        <v>1038</v>
      </c>
      <c r="B282" s="31" t="s">
        <v>1039</v>
      </c>
      <c r="C282" s="11" t="str">
        <f>IFERROR(VLOOKUP(A282,$F$4:$H$979,1,0),0)</f>
        <v>Maritza Quezada</v>
      </c>
      <c r="F282" s="4" t="s">
        <v>291</v>
      </c>
      <c r="G282" s="5" t="s">
        <v>292</v>
      </c>
      <c r="H282" s="5"/>
      <c r="I282" s="6" t="s">
        <v>1258</v>
      </c>
    </row>
    <row r="283" spans="1:9" x14ac:dyDescent="0.3">
      <c r="A283" s="30" t="s">
        <v>303</v>
      </c>
      <c r="B283" s="32" t="s">
        <v>304</v>
      </c>
      <c r="C283" s="11" t="str">
        <f>IFERROR(VLOOKUP(A283,$F$4:$H$979,1,0),0)</f>
        <v>Martha Mora</v>
      </c>
      <c r="F283" s="6" t="s">
        <v>1022</v>
      </c>
      <c r="G283" s="6" t="s">
        <v>1023</v>
      </c>
      <c r="H283" s="6"/>
      <c r="I283" s="6" t="s">
        <v>1258</v>
      </c>
    </row>
    <row r="284" spans="1:9" x14ac:dyDescent="0.3">
      <c r="A284" s="33" t="s">
        <v>305</v>
      </c>
      <c r="B284" s="31" t="s">
        <v>306</v>
      </c>
      <c r="C284" s="11" t="str">
        <f>IFERROR(VLOOKUP(A284,$F$4:$H$979,1,0),0)</f>
        <v>Martita</v>
      </c>
      <c r="F284" s="22" t="s">
        <v>1024</v>
      </c>
      <c r="G284" s="22" t="s">
        <v>1025</v>
      </c>
      <c r="H284" s="6"/>
      <c r="I284" s="6" t="s">
        <v>1267</v>
      </c>
    </row>
    <row r="285" spans="1:9" x14ac:dyDescent="0.3">
      <c r="A285" s="30" t="s">
        <v>1392</v>
      </c>
      <c r="B285" s="32" t="s">
        <v>1393</v>
      </c>
      <c r="C285" s="11" t="str">
        <f>IFERROR(VLOOKUP(A285,$F$4:$H$979,1,0),0)</f>
        <v>Martita Bustamante</v>
      </c>
      <c r="F285" s="6" t="s">
        <v>293</v>
      </c>
      <c r="G285" s="7" t="s">
        <v>294</v>
      </c>
      <c r="H285" s="7" t="s">
        <v>493</v>
      </c>
      <c r="I285" s="6" t="s">
        <v>1262</v>
      </c>
    </row>
    <row r="286" spans="1:9" x14ac:dyDescent="0.3">
      <c r="A286" s="33" t="s">
        <v>1394</v>
      </c>
      <c r="B286" s="31" t="s">
        <v>1395</v>
      </c>
      <c r="C286" s="11" t="str">
        <f>IFERROR(VLOOKUP(A286,$F$4:$H$979,1,0),0)</f>
        <v>Mary Villa 212</v>
      </c>
      <c r="F286" s="6" t="s">
        <v>1382</v>
      </c>
      <c r="G286" s="6" t="s">
        <v>1383</v>
      </c>
      <c r="H286" s="6"/>
      <c r="I286" s="6"/>
    </row>
    <row r="287" spans="1:9" x14ac:dyDescent="0.3">
      <c r="A287" s="30" t="s">
        <v>1396</v>
      </c>
      <c r="B287" s="32" t="s">
        <v>1397</v>
      </c>
      <c r="C287" s="11" t="str">
        <f>IFERROR(VLOOKUP(A287,$F$4:$H$979,1,0),0)</f>
        <v>Mayra García</v>
      </c>
      <c r="F287" s="6" t="s">
        <v>586</v>
      </c>
      <c r="G287" s="12" t="s">
        <v>587</v>
      </c>
      <c r="H287" s="6"/>
      <c r="I287" s="6" t="s">
        <v>1267</v>
      </c>
    </row>
    <row r="288" spans="1:9" x14ac:dyDescent="0.3">
      <c r="A288" s="33" t="s">
        <v>307</v>
      </c>
      <c r="B288" s="31" t="s">
        <v>308</v>
      </c>
      <c r="C288" s="11" t="str">
        <f>IFERROR(VLOOKUP(A288,$F$4:$H$979,1,0),0)</f>
        <v>Mayu Zat</v>
      </c>
      <c r="F288" s="6" t="s">
        <v>1026</v>
      </c>
      <c r="G288" s="6" t="s">
        <v>1027</v>
      </c>
      <c r="H288" s="6" t="s">
        <v>1529</v>
      </c>
      <c r="I288" s="6" t="s">
        <v>1263</v>
      </c>
    </row>
    <row r="289" spans="1:9" x14ac:dyDescent="0.3">
      <c r="A289" s="30" t="s">
        <v>588</v>
      </c>
      <c r="B289" s="32" t="s">
        <v>589</v>
      </c>
      <c r="C289" s="11" t="str">
        <f>IFERROR(VLOOKUP(A289,$F$4:$H$979,1,0),0)</f>
        <v>Mercedes Torres</v>
      </c>
      <c r="F289" s="4" t="s">
        <v>295</v>
      </c>
      <c r="G289" s="5" t="s">
        <v>296</v>
      </c>
      <c r="H289" s="5" t="s">
        <v>482</v>
      </c>
      <c r="I289" s="6" t="s">
        <v>1267</v>
      </c>
    </row>
    <row r="290" spans="1:9" x14ac:dyDescent="0.3">
      <c r="A290" s="33" t="s">
        <v>309</v>
      </c>
      <c r="B290" s="31" t="s">
        <v>310</v>
      </c>
      <c r="C290" s="11" t="str">
        <f>IFERROR(VLOOKUP(A290,$F$4:$H$979,1,0),0)</f>
        <v>Mercy Jimbo</v>
      </c>
      <c r="F290" s="6" t="s">
        <v>1028</v>
      </c>
      <c r="G290" s="6" t="s">
        <v>1029</v>
      </c>
      <c r="H290" s="6"/>
      <c r="I290" s="6" t="s">
        <v>1267</v>
      </c>
    </row>
    <row r="291" spans="1:9" x14ac:dyDescent="0.3">
      <c r="A291" s="30" t="s">
        <v>311</v>
      </c>
      <c r="B291" s="32" t="s">
        <v>312</v>
      </c>
      <c r="C291" s="11" t="str">
        <f>IFERROR(VLOOKUP(A291,$F$4:$H$979,1,0),0)</f>
        <v>Mercy Villena</v>
      </c>
      <c r="F291" s="22" t="s">
        <v>1384</v>
      </c>
      <c r="G291" s="22" t="s">
        <v>1385</v>
      </c>
      <c r="H291" s="6"/>
      <c r="I291" s="6"/>
    </row>
    <row r="292" spans="1:9" x14ac:dyDescent="0.3">
      <c r="A292" s="33" t="s">
        <v>313</v>
      </c>
      <c r="B292" s="31" t="s">
        <v>314</v>
      </c>
      <c r="C292" s="11" t="str">
        <f>IFERROR(VLOOKUP(A292,$F$4:$H$979,1,0),0)</f>
        <v>Mery Mendoza</v>
      </c>
      <c r="F292" s="22" t="s">
        <v>1030</v>
      </c>
      <c r="G292" s="22" t="s">
        <v>1031</v>
      </c>
      <c r="H292" s="6" t="s">
        <v>1236</v>
      </c>
      <c r="I292" s="6" t="s">
        <v>1262</v>
      </c>
    </row>
    <row r="293" spans="1:9" x14ac:dyDescent="0.3">
      <c r="A293" s="30" t="s">
        <v>1398</v>
      </c>
      <c r="B293" s="32" t="s">
        <v>1399</v>
      </c>
      <c r="C293" s="11" t="str">
        <f>IFERROR(VLOOKUP(A293,$F$4:$H$979,1,0),0)</f>
        <v>Micromercado01</v>
      </c>
      <c r="F293" s="6" t="s">
        <v>1032</v>
      </c>
      <c r="G293" s="6" t="s">
        <v>1033</v>
      </c>
      <c r="H293" s="6"/>
      <c r="I293" s="6" t="s">
        <v>1267</v>
      </c>
    </row>
    <row r="294" spans="1:9" x14ac:dyDescent="0.3">
      <c r="A294" s="33" t="s">
        <v>315</v>
      </c>
      <c r="B294" s="31" t="s">
        <v>316</v>
      </c>
      <c r="C294" s="11" t="str">
        <f>IFERROR(VLOOKUP(A294,$F$4:$H$979,1,0),0)</f>
        <v>Miren Jumbo</v>
      </c>
      <c r="F294" s="22" t="s">
        <v>1034</v>
      </c>
      <c r="G294" s="22" t="s">
        <v>1035</v>
      </c>
      <c r="H294" s="6" t="s">
        <v>1530</v>
      </c>
      <c r="I294" s="6" t="s">
        <v>1261</v>
      </c>
    </row>
    <row r="295" spans="1:9" x14ac:dyDescent="0.3">
      <c r="A295" s="30" t="s">
        <v>317</v>
      </c>
      <c r="B295" s="32" t="s">
        <v>318</v>
      </c>
      <c r="C295" s="11" t="str">
        <f>IFERROR(VLOOKUP(A295,$F$4:$H$979,1,0),0)</f>
        <v>Miriam Cárden</v>
      </c>
      <c r="F295" s="6" t="s">
        <v>297</v>
      </c>
      <c r="G295" s="7" t="s">
        <v>298</v>
      </c>
      <c r="H295" s="7" t="s">
        <v>1531</v>
      </c>
      <c r="I295" s="6" t="s">
        <v>1258</v>
      </c>
    </row>
    <row r="296" spans="1:9" x14ac:dyDescent="0.3">
      <c r="A296" s="33" t="s">
        <v>1040</v>
      </c>
      <c r="B296" s="31" t="s">
        <v>1041</v>
      </c>
      <c r="C296" s="11" t="str">
        <f>IFERROR(VLOOKUP(A296,$F$4:$H$979,1,0),0)</f>
        <v>Mishell Ludeña</v>
      </c>
      <c r="F296" s="6" t="s">
        <v>1386</v>
      </c>
      <c r="G296" s="6" t="s">
        <v>1387</v>
      </c>
      <c r="H296" s="6" t="s">
        <v>1531</v>
      </c>
      <c r="I296" s="6" t="s">
        <v>1258</v>
      </c>
    </row>
    <row r="297" spans="1:9" x14ac:dyDescent="0.3">
      <c r="A297" s="30" t="s">
        <v>1042</v>
      </c>
      <c r="B297" s="32" t="s">
        <v>1043</v>
      </c>
      <c r="C297" s="11" t="str">
        <f>IFERROR(VLOOKUP(A297,$F$4:$H$979,1,0),0)</f>
        <v>Montalvan</v>
      </c>
      <c r="F297" s="4" t="s">
        <v>299</v>
      </c>
      <c r="G297" s="5" t="s">
        <v>300</v>
      </c>
      <c r="H297" s="5"/>
      <c r="I297" s="6"/>
    </row>
    <row r="298" spans="1:9" x14ac:dyDescent="0.3">
      <c r="A298" s="33" t="s">
        <v>1044</v>
      </c>
      <c r="B298" s="31" t="s">
        <v>1045</v>
      </c>
      <c r="C298" s="11" t="str">
        <f>IFERROR(VLOOKUP(A298,$F$4:$H$979,1,0),0)</f>
        <v>Mueblería Reina Del Cisne</v>
      </c>
      <c r="F298" s="6" t="s">
        <v>1388</v>
      </c>
      <c r="G298" s="6" t="s">
        <v>1389</v>
      </c>
      <c r="H298" s="6"/>
      <c r="I298" s="6"/>
    </row>
    <row r="299" spans="1:9" x14ac:dyDescent="0.3">
      <c r="A299" s="30" t="s">
        <v>319</v>
      </c>
      <c r="B299" s="32" t="s">
        <v>320</v>
      </c>
      <c r="C299" s="11" t="str">
        <f>IFERROR(VLOOKUP(A299,$F$4:$H$979,1,0),0)</f>
        <v>Municipio</v>
      </c>
      <c r="F299" s="22" t="s">
        <v>1390</v>
      </c>
      <c r="G299" s="22" t="s">
        <v>1391</v>
      </c>
      <c r="H299" s="6"/>
      <c r="I299" s="6"/>
    </row>
    <row r="300" spans="1:9" x14ac:dyDescent="0.3">
      <c r="A300" s="33" t="s">
        <v>319</v>
      </c>
      <c r="B300" s="31" t="s">
        <v>321</v>
      </c>
      <c r="C300" s="11" t="str">
        <f>IFERROR(VLOOKUP(A300,$F$4:$H$979,1,0),0)</f>
        <v>Municipio</v>
      </c>
      <c r="F300" s="6" t="s">
        <v>1036</v>
      </c>
      <c r="G300" s="6" t="s">
        <v>1037</v>
      </c>
      <c r="H300" s="6" t="s">
        <v>1237</v>
      </c>
      <c r="I300" s="6" t="s">
        <v>1268</v>
      </c>
    </row>
    <row r="301" spans="1:9" x14ac:dyDescent="0.3">
      <c r="A301" s="30" t="s">
        <v>322</v>
      </c>
      <c r="B301" s="32" t="s">
        <v>323</v>
      </c>
      <c r="C301" s="11" t="str">
        <f>IFERROR(VLOOKUP(A301,$F$4:$H$979,1,0),0)</f>
        <v>Ñañ Daniel</v>
      </c>
      <c r="F301" s="6" t="s">
        <v>301</v>
      </c>
      <c r="G301" s="7" t="s">
        <v>302</v>
      </c>
      <c r="H301" s="7" t="s">
        <v>1532</v>
      </c>
      <c r="I301" s="6" t="s">
        <v>1268</v>
      </c>
    </row>
    <row r="302" spans="1:9" x14ac:dyDescent="0.3">
      <c r="A302" s="33" t="s">
        <v>324</v>
      </c>
      <c r="B302" s="31" t="s">
        <v>325</v>
      </c>
      <c r="C302" s="11" t="str">
        <f>IFERROR(VLOOKUP(A302,$F$4:$H$979,1,0),0)</f>
        <v>Nancy Cando</v>
      </c>
      <c r="F302" s="22" t="s">
        <v>1038</v>
      </c>
      <c r="G302" s="22" t="s">
        <v>1039</v>
      </c>
      <c r="H302" s="6"/>
      <c r="I302" s="6" t="s">
        <v>1267</v>
      </c>
    </row>
    <row r="303" spans="1:9" x14ac:dyDescent="0.3">
      <c r="A303" s="30" t="s">
        <v>1400</v>
      </c>
      <c r="B303" s="32" t="s">
        <v>1401</v>
      </c>
      <c r="C303" s="11" t="str">
        <f>IFERROR(VLOOKUP(A303,$F$4:$H$979,1,0),0)</f>
        <v>Natalia Zatama</v>
      </c>
      <c r="F303" s="4" t="s">
        <v>303</v>
      </c>
      <c r="G303" s="5" t="s">
        <v>304</v>
      </c>
      <c r="H303" s="5"/>
      <c r="I303" s="6" t="s">
        <v>1267</v>
      </c>
    </row>
    <row r="304" spans="1:9" x14ac:dyDescent="0.3">
      <c r="A304" s="33" t="s">
        <v>1402</v>
      </c>
      <c r="B304" s="31" t="s">
        <v>1403</v>
      </c>
      <c r="C304" s="11" t="str">
        <f>IFERROR(VLOOKUP(A304,$F$4:$H$979,1,0),0)</f>
        <v>Negro Mario Bustamante</v>
      </c>
      <c r="F304" s="6" t="s">
        <v>305</v>
      </c>
      <c r="G304" s="7" t="s">
        <v>306</v>
      </c>
      <c r="H304" s="7" t="s">
        <v>1238</v>
      </c>
      <c r="I304" s="6" t="s">
        <v>1268</v>
      </c>
    </row>
    <row r="305" spans="1:9" x14ac:dyDescent="0.3">
      <c r="A305" s="30" t="s">
        <v>1404</v>
      </c>
      <c r="B305" s="32" t="s">
        <v>1405</v>
      </c>
      <c r="C305" s="11" t="str">
        <f>IFERROR(VLOOKUP(A305,$F$4:$H$979,1,0),0)</f>
        <v>Nelson &amp; Bodega De Gas</v>
      </c>
      <c r="F305" s="22" t="s">
        <v>1392</v>
      </c>
      <c r="G305" s="22" t="s">
        <v>1393</v>
      </c>
      <c r="H305" s="6" t="s">
        <v>1533</v>
      </c>
      <c r="I305" s="6" t="s">
        <v>1268</v>
      </c>
    </row>
    <row r="306" spans="1:9" x14ac:dyDescent="0.3">
      <c r="A306" s="33" t="s">
        <v>1046</v>
      </c>
      <c r="B306" s="31" t="s">
        <v>1047</v>
      </c>
      <c r="C306" s="11" t="str">
        <f>IFERROR(VLOOKUP(A306,$F$4:$H$979,1,0),0)</f>
        <v>Nely Torres</v>
      </c>
      <c r="F306" s="6" t="s">
        <v>1394</v>
      </c>
      <c r="G306" s="6" t="s">
        <v>1395</v>
      </c>
      <c r="H306" s="6" t="s">
        <v>1534</v>
      </c>
      <c r="I306" s="6" t="s">
        <v>1410</v>
      </c>
    </row>
    <row r="307" spans="1:9" x14ac:dyDescent="0.3">
      <c r="A307" s="30" t="s">
        <v>326</v>
      </c>
      <c r="B307" s="32" t="s">
        <v>327</v>
      </c>
      <c r="C307" s="11" t="str">
        <f>IFERROR(VLOOKUP(A307,$F$4:$H$979,1,0),0)</f>
        <v>Néstor Pdre</v>
      </c>
      <c r="F307" s="22" t="s">
        <v>1396</v>
      </c>
      <c r="G307" s="22" t="s">
        <v>1397</v>
      </c>
      <c r="H307" s="6" t="s">
        <v>1535</v>
      </c>
      <c r="I307" s="6" t="s">
        <v>1261</v>
      </c>
    </row>
    <row r="308" spans="1:9" x14ac:dyDescent="0.3">
      <c r="A308" s="33" t="s">
        <v>328</v>
      </c>
      <c r="B308" s="31" t="s">
        <v>329</v>
      </c>
      <c r="C308" s="11" t="str">
        <f>IFERROR(VLOOKUP(A308,$F$4:$H$979,1,0),0)</f>
        <v>Nicolas Ortiz</v>
      </c>
      <c r="F308" s="4" t="s">
        <v>307</v>
      </c>
      <c r="G308" s="5" t="s">
        <v>308</v>
      </c>
      <c r="H308" s="5"/>
      <c r="I308" s="6" t="s">
        <v>1267</v>
      </c>
    </row>
    <row r="309" spans="1:9" x14ac:dyDescent="0.3">
      <c r="A309" s="30" t="s">
        <v>330</v>
      </c>
      <c r="B309" s="32" t="s">
        <v>331</v>
      </c>
      <c r="C309" s="11" t="str">
        <f>IFERROR(VLOOKUP(A309,$F$4:$H$979,1,0),0)</f>
        <v>Nixon</v>
      </c>
      <c r="F309" s="6" t="s">
        <v>588</v>
      </c>
      <c r="G309" s="12" t="s">
        <v>589</v>
      </c>
      <c r="H309" s="6"/>
      <c r="I309" s="6" t="s">
        <v>1267</v>
      </c>
    </row>
    <row r="310" spans="1:9" x14ac:dyDescent="0.3">
      <c r="A310" s="33" t="s">
        <v>1048</v>
      </c>
      <c r="B310" s="31" t="s">
        <v>1049</v>
      </c>
      <c r="C310" s="11" t="str">
        <f>IFERROR(VLOOKUP(A310,$F$4:$H$979,1,0),0)</f>
        <v>NOVEDADES Y VARIEDADES MLK</v>
      </c>
      <c r="F310" s="6" t="s">
        <v>309</v>
      </c>
      <c r="G310" s="7" t="s">
        <v>310</v>
      </c>
      <c r="H310" s="7"/>
      <c r="I310" s="6" t="s">
        <v>1267</v>
      </c>
    </row>
    <row r="311" spans="1:9" x14ac:dyDescent="0.3">
      <c r="A311" s="30" t="s">
        <v>1050</v>
      </c>
      <c r="B311" s="32" t="s">
        <v>147</v>
      </c>
      <c r="C311" s="11" t="str">
        <f>IFERROR(VLOOKUP(A311,$F$4:$H$979,1,0),0)</f>
        <v>Olga Chavez</v>
      </c>
      <c r="F311" s="4" t="s">
        <v>311</v>
      </c>
      <c r="G311" s="5" t="s">
        <v>312</v>
      </c>
      <c r="H311" s="5" t="s">
        <v>1536</v>
      </c>
      <c r="I311" s="6" t="s">
        <v>1256</v>
      </c>
    </row>
    <row r="312" spans="1:9" x14ac:dyDescent="0.3">
      <c r="A312" s="33" t="s">
        <v>1051</v>
      </c>
      <c r="B312" s="31" t="s">
        <v>1052</v>
      </c>
      <c r="C312" s="11" t="str">
        <f>IFERROR(VLOOKUP(A312,$F$4:$H$979,1,0),0)</f>
        <v>Olga Garcia</v>
      </c>
      <c r="F312" s="6" t="s">
        <v>313</v>
      </c>
      <c r="G312" s="7" t="s">
        <v>314</v>
      </c>
      <c r="H312" s="7" t="s">
        <v>495</v>
      </c>
      <c r="I312" s="6" t="s">
        <v>1258</v>
      </c>
    </row>
    <row r="313" spans="1:9" x14ac:dyDescent="0.3">
      <c r="A313" s="30" t="s">
        <v>1053</v>
      </c>
      <c r="B313" s="32" t="s">
        <v>1054</v>
      </c>
      <c r="C313" s="11" t="str">
        <f>IFERROR(VLOOKUP(A313,$F$4:$H$979,1,0),0)</f>
        <v>Omar Martínez</v>
      </c>
      <c r="F313" s="22" t="s">
        <v>1398</v>
      </c>
      <c r="G313" s="22" t="s">
        <v>1399</v>
      </c>
      <c r="H313" s="6"/>
      <c r="I313" s="6"/>
    </row>
    <row r="314" spans="1:9" x14ac:dyDescent="0.3">
      <c r="A314" s="33" t="s">
        <v>1055</v>
      </c>
      <c r="B314" s="31" t="s">
        <v>1056</v>
      </c>
      <c r="C314" s="11" t="str">
        <f>IFERROR(VLOOKUP(A314,$F$4:$H$979,1,0),0)</f>
        <v>Oscar Guaycha</v>
      </c>
      <c r="F314" s="4" t="s">
        <v>315</v>
      </c>
      <c r="G314" s="5" t="s">
        <v>316</v>
      </c>
      <c r="H314" s="5"/>
      <c r="I314" s="6" t="s">
        <v>1267</v>
      </c>
    </row>
    <row r="315" spans="1:9" x14ac:dyDescent="0.3">
      <c r="A315" s="30" t="s">
        <v>1406</v>
      </c>
      <c r="B315" s="32" t="s">
        <v>1407</v>
      </c>
      <c r="C315" s="11" t="str">
        <f>IFERROR(VLOOKUP(A315,$F$4:$H$979,1,0),0)</f>
        <v>Paco Landi</v>
      </c>
      <c r="F315" s="6" t="s">
        <v>317</v>
      </c>
      <c r="G315" s="7" t="s">
        <v>318</v>
      </c>
      <c r="H315" s="7" t="s">
        <v>496</v>
      </c>
      <c r="I315" s="6" t="s">
        <v>1267</v>
      </c>
    </row>
    <row r="316" spans="1:9" x14ac:dyDescent="0.3">
      <c r="A316" s="33" t="s">
        <v>1408</v>
      </c>
      <c r="B316" s="31" t="s">
        <v>1409</v>
      </c>
      <c r="C316" s="11" t="str">
        <f>IFERROR(VLOOKUP(A316,$F$4:$H$979,1,0),0)</f>
        <v>Pajarita</v>
      </c>
      <c r="F316" s="22" t="s">
        <v>1040</v>
      </c>
      <c r="G316" s="22" t="s">
        <v>1041</v>
      </c>
      <c r="H316" s="6" t="s">
        <v>1239</v>
      </c>
      <c r="I316" s="6" t="s">
        <v>1263</v>
      </c>
    </row>
    <row r="317" spans="1:9" x14ac:dyDescent="0.3">
      <c r="A317" s="30" t="s">
        <v>1057</v>
      </c>
      <c r="B317" s="32" t="s">
        <v>1058</v>
      </c>
      <c r="C317" s="11" t="str">
        <f>IFERROR(VLOOKUP(A317,$F$4:$H$979,1,0),0)</f>
        <v>Paquita Torres</v>
      </c>
      <c r="F317" s="6" t="s">
        <v>1042</v>
      </c>
      <c r="G317" s="6" t="s">
        <v>1043</v>
      </c>
      <c r="H317" s="6"/>
      <c r="I317" s="6" t="s">
        <v>1268</v>
      </c>
    </row>
    <row r="318" spans="1:9" x14ac:dyDescent="0.3">
      <c r="A318" s="33" t="s">
        <v>1057</v>
      </c>
      <c r="B318" s="31" t="s">
        <v>1059</v>
      </c>
      <c r="C318" s="11" t="str">
        <f>IFERROR(VLOOKUP(A318,$F$4:$H$979,1,0),0)</f>
        <v>Paquita Torres</v>
      </c>
      <c r="F318" s="22" t="s">
        <v>1044</v>
      </c>
      <c r="G318" s="22" t="s">
        <v>1045</v>
      </c>
      <c r="H318" s="6" t="s">
        <v>1240</v>
      </c>
      <c r="I318" s="6" t="s">
        <v>1260</v>
      </c>
    </row>
    <row r="319" spans="1:9" x14ac:dyDescent="0.3">
      <c r="A319" s="30" t="s">
        <v>1060</v>
      </c>
      <c r="B319" s="32" t="s">
        <v>1061</v>
      </c>
      <c r="C319" s="11" t="str">
        <f>IFERROR(VLOOKUP(A319,$F$4:$H$979,1,0),0)</f>
        <v>Patricia Bustamante</v>
      </c>
      <c r="F319" s="6" t="s">
        <v>319</v>
      </c>
      <c r="G319" s="7" t="s">
        <v>320</v>
      </c>
      <c r="H319" s="7" t="s">
        <v>497</v>
      </c>
      <c r="I319" s="6" t="s">
        <v>1256</v>
      </c>
    </row>
    <row r="320" spans="1:9" x14ac:dyDescent="0.3">
      <c r="A320" s="33" t="s">
        <v>334</v>
      </c>
      <c r="B320" s="31" t="s">
        <v>335</v>
      </c>
      <c r="C320" s="11" t="str">
        <f>IFERROR(VLOOKUP(A320,$F$4:$H$979,1,0),0)</f>
        <v>Patricio Villas</v>
      </c>
      <c r="F320" s="4" t="s">
        <v>319</v>
      </c>
      <c r="G320" s="5" t="s">
        <v>321</v>
      </c>
      <c r="H320" s="5" t="s">
        <v>497</v>
      </c>
      <c r="I320" s="6" t="s">
        <v>1256</v>
      </c>
    </row>
    <row r="321" spans="1:9" x14ac:dyDescent="0.3">
      <c r="A321" s="30" t="s">
        <v>1062</v>
      </c>
      <c r="B321" s="32" t="s">
        <v>1063</v>
      </c>
      <c r="C321" s="11" t="str">
        <f>IFERROR(VLOOKUP(A321,$F$4:$H$979,1,0),0)</f>
        <v>Paul Campoverde</v>
      </c>
      <c r="F321" s="6" t="s">
        <v>324</v>
      </c>
      <c r="G321" s="7" t="s">
        <v>325</v>
      </c>
      <c r="H321" s="7"/>
      <c r="I321" s="6" t="s">
        <v>1267</v>
      </c>
    </row>
    <row r="322" spans="1:9" x14ac:dyDescent="0.3">
      <c r="A322" s="33" t="s">
        <v>1411</v>
      </c>
      <c r="B322" s="31" t="s">
        <v>1412</v>
      </c>
      <c r="C322" s="11" t="str">
        <f>IFERROR(VLOOKUP(A322,$F$4:$H$979,1,0),0)</f>
        <v>Pedro Cueva</v>
      </c>
      <c r="F322" s="22" t="s">
        <v>1400</v>
      </c>
      <c r="G322" s="22" t="s">
        <v>1401</v>
      </c>
      <c r="H322" s="6" t="s">
        <v>1537</v>
      </c>
      <c r="I322" s="6" t="s">
        <v>1256</v>
      </c>
    </row>
    <row r="323" spans="1:9" x14ac:dyDescent="0.3">
      <c r="A323" s="30" t="s">
        <v>1413</v>
      </c>
      <c r="B323" s="32" t="s">
        <v>1414</v>
      </c>
      <c r="C323" s="11" t="str">
        <f>IFERROR(VLOOKUP(A323,$F$4:$H$979,1,0),0)</f>
        <v>Pedro Vera Chofer M</v>
      </c>
      <c r="F323" s="42" t="s">
        <v>536</v>
      </c>
      <c r="G323" s="5"/>
      <c r="H323" s="5" t="s">
        <v>1241</v>
      </c>
      <c r="I323" s="6" t="s">
        <v>1256</v>
      </c>
    </row>
    <row r="324" spans="1:9" x14ac:dyDescent="0.3">
      <c r="A324" s="33" t="s">
        <v>336</v>
      </c>
      <c r="B324" s="31" t="s">
        <v>337</v>
      </c>
      <c r="C324" s="11" t="str">
        <f>IFERROR(VLOOKUP(A324,$F$4:$H$979,1,0),0)</f>
        <v>Piedad Eras</v>
      </c>
      <c r="F324" s="6" t="s">
        <v>1402</v>
      </c>
      <c r="G324" s="6"/>
      <c r="H324" s="5" t="s">
        <v>1241</v>
      </c>
      <c r="I324" s="6" t="s">
        <v>1256</v>
      </c>
    </row>
    <row r="325" spans="1:9" x14ac:dyDescent="0.3">
      <c r="A325" s="30" t="s">
        <v>338</v>
      </c>
      <c r="B325" s="32" t="s">
        <v>339</v>
      </c>
      <c r="C325" s="11" t="str">
        <f>IFERROR(VLOOKUP(A325,$F$4:$H$979,1,0),0)</f>
        <v>Piedad Martínez</v>
      </c>
      <c r="F325" s="22" t="s">
        <v>1404</v>
      </c>
      <c r="G325" s="22" t="s">
        <v>1405</v>
      </c>
      <c r="H325" s="6"/>
      <c r="I325" s="6"/>
    </row>
    <row r="326" spans="1:9" x14ac:dyDescent="0.3">
      <c r="A326" s="33" t="s">
        <v>340</v>
      </c>
      <c r="B326" s="31" t="s">
        <v>341</v>
      </c>
      <c r="C326" s="11" t="str">
        <f>IFERROR(VLOOKUP(A326,$F$4:$H$979,1,0),0)</f>
        <v>Pindal</v>
      </c>
      <c r="F326" s="6" t="s">
        <v>1046</v>
      </c>
      <c r="G326" s="6" t="s">
        <v>1047</v>
      </c>
      <c r="H326" s="6" t="s">
        <v>1538</v>
      </c>
      <c r="I326" s="6" t="s">
        <v>1260</v>
      </c>
    </row>
    <row r="327" spans="1:9" x14ac:dyDescent="0.3">
      <c r="A327" s="30" t="s">
        <v>1064</v>
      </c>
      <c r="B327" s="32" t="s">
        <v>1065</v>
      </c>
      <c r="C327" s="11" t="str">
        <f>IFERROR(VLOOKUP(A327,$F$4:$H$979,1,0),0)</f>
        <v>Pirulo</v>
      </c>
      <c r="F327" s="6" t="s">
        <v>326</v>
      </c>
      <c r="G327" s="7" t="s">
        <v>327</v>
      </c>
      <c r="H327" s="7"/>
      <c r="I327" s="6" t="s">
        <v>1259</v>
      </c>
    </row>
    <row r="328" spans="1:9" x14ac:dyDescent="0.3">
      <c r="A328" s="33" t="s">
        <v>342</v>
      </c>
      <c r="B328" s="31" t="s">
        <v>343</v>
      </c>
      <c r="C328" s="11" t="str">
        <f>IFERROR(VLOOKUP(A328,$F$4:$H$979,1,0),0)</f>
        <v>Piter</v>
      </c>
      <c r="F328" s="4" t="s">
        <v>328</v>
      </c>
      <c r="G328" s="5" t="s">
        <v>329</v>
      </c>
      <c r="H328" s="5"/>
      <c r="I328" s="6" t="s">
        <v>1267</v>
      </c>
    </row>
    <row r="329" spans="1:9" x14ac:dyDescent="0.3">
      <c r="A329" s="30" t="s">
        <v>1415</v>
      </c>
      <c r="B329" s="32" t="s">
        <v>1416</v>
      </c>
      <c r="C329" s="11" t="str">
        <f>IFERROR(VLOOKUP(A329,$F$4:$H$979,1,0),0)</f>
        <v>Polo Ramírez</v>
      </c>
      <c r="F329" s="43" t="s">
        <v>330</v>
      </c>
      <c r="G329" s="7" t="s">
        <v>331</v>
      </c>
      <c r="H329" s="7"/>
      <c r="I329" s="6" t="s">
        <v>1267</v>
      </c>
    </row>
    <row r="330" spans="1:9" x14ac:dyDescent="0.3">
      <c r="A330" s="33" t="s">
        <v>344</v>
      </c>
      <c r="B330" s="31" t="s">
        <v>345</v>
      </c>
      <c r="C330" s="11" t="str">
        <f>IFERROR(VLOOKUP(A330,$F$4:$H$979,1,0),0)</f>
        <v>Prodental</v>
      </c>
      <c r="F330" s="6" t="s">
        <v>1048</v>
      </c>
      <c r="G330" s="6" t="s">
        <v>1049</v>
      </c>
      <c r="H330" s="6"/>
      <c r="I330" s="6" t="s">
        <v>1267</v>
      </c>
    </row>
    <row r="331" spans="1:9" x14ac:dyDescent="0.3">
      <c r="A331" s="30" t="s">
        <v>344</v>
      </c>
      <c r="B331" s="32" t="s">
        <v>346</v>
      </c>
      <c r="C331" s="11" t="str">
        <f>IFERROR(VLOOKUP(A331,$F$4:$H$979,1,0),0)</f>
        <v>Prodental</v>
      </c>
      <c r="F331" s="4" t="s">
        <v>322</v>
      </c>
      <c r="G331" s="5" t="s">
        <v>323</v>
      </c>
      <c r="H331" s="5"/>
      <c r="I331" s="6" t="s">
        <v>1267</v>
      </c>
    </row>
    <row r="332" spans="1:9" x14ac:dyDescent="0.3">
      <c r="A332" s="33" t="s">
        <v>347</v>
      </c>
      <c r="B332" s="31" t="s">
        <v>348</v>
      </c>
      <c r="C332" s="11" t="str">
        <f>IFERROR(VLOOKUP(A332,$F$4:$H$979,1,0),0)</f>
        <v>PROSELITISMO</v>
      </c>
      <c r="F332" s="6" t="s">
        <v>332</v>
      </c>
      <c r="G332" s="7" t="s">
        <v>333</v>
      </c>
      <c r="H332" s="7"/>
      <c r="I332" s="6" t="s">
        <v>1267</v>
      </c>
    </row>
    <row r="333" spans="1:9" x14ac:dyDescent="0.3">
      <c r="A333" s="30" t="s">
        <v>1417</v>
      </c>
      <c r="B333" s="32" t="s">
        <v>1418</v>
      </c>
      <c r="C333" s="11" t="str">
        <f>IFERROR(VLOOKUP(A333,$F$4:$H$979,1,0),0)</f>
        <v>Ramiro Jumbo</v>
      </c>
      <c r="F333" s="22" t="s">
        <v>1050</v>
      </c>
      <c r="G333" s="22" t="s">
        <v>147</v>
      </c>
      <c r="H333" s="6"/>
      <c r="I333" s="6" t="s">
        <v>1267</v>
      </c>
    </row>
    <row r="334" spans="1:9" x14ac:dyDescent="0.3">
      <c r="A334" s="33" t="s">
        <v>1066</v>
      </c>
      <c r="B334" s="31" t="s">
        <v>1067</v>
      </c>
      <c r="C334" s="11" t="str">
        <f>IFERROR(VLOOKUP(A334,$F$4:$H$979,1,0),0)</f>
        <v>Raquel Espinoza</v>
      </c>
      <c r="F334" s="6" t="s">
        <v>1051</v>
      </c>
      <c r="G334" s="6" t="s">
        <v>1052</v>
      </c>
      <c r="H334" s="6" t="s">
        <v>1242</v>
      </c>
      <c r="I334" s="6" t="s">
        <v>1256</v>
      </c>
    </row>
    <row r="335" spans="1:9" x14ac:dyDescent="0.3">
      <c r="A335" s="30" t="s">
        <v>1419</v>
      </c>
      <c r="B335" s="32" t="s">
        <v>1420</v>
      </c>
      <c r="C335" s="11" t="str">
        <f>IFERROR(VLOOKUP(A335,$F$4:$H$979,1,0),0)</f>
        <v>Reinerio Quezada</v>
      </c>
      <c r="F335" s="22" t="s">
        <v>1053</v>
      </c>
      <c r="G335" s="22" t="s">
        <v>1054</v>
      </c>
      <c r="H335" s="6"/>
      <c r="I335" s="6" t="s">
        <v>1267</v>
      </c>
    </row>
    <row r="336" spans="1:9" x14ac:dyDescent="0.3">
      <c r="A336" s="33" t="s">
        <v>351</v>
      </c>
      <c r="B336" s="31" t="s">
        <v>352</v>
      </c>
      <c r="C336" s="11" t="str">
        <f>IFERROR(VLOOKUP(A336,$F$4:$H$979,1,0),0)</f>
        <v>Restaurant Celes</v>
      </c>
      <c r="F336" s="6" t="s">
        <v>1055</v>
      </c>
      <c r="G336" s="6" t="s">
        <v>1056</v>
      </c>
      <c r="H336" s="6"/>
      <c r="I336" s="6" t="s">
        <v>1267</v>
      </c>
    </row>
    <row r="337" spans="1:9" x14ac:dyDescent="0.3">
      <c r="A337" s="30" t="s">
        <v>1421</v>
      </c>
      <c r="B337" s="32" t="s">
        <v>1422</v>
      </c>
      <c r="C337" s="11" t="str">
        <f>IFERROR(VLOOKUP(A337,$F$4:$H$979,1,0),0)</f>
        <v>Ricardo Arias</v>
      </c>
      <c r="F337" s="22" t="s">
        <v>1406</v>
      </c>
      <c r="G337" s="22" t="s">
        <v>1407</v>
      </c>
      <c r="H337" s="6"/>
      <c r="I337" s="6"/>
    </row>
    <row r="338" spans="1:9" x14ac:dyDescent="0.3">
      <c r="A338" s="33" t="s">
        <v>1068</v>
      </c>
      <c r="B338" s="31" t="s">
        <v>67</v>
      </c>
      <c r="C338" s="11" t="str">
        <f>IFERROR(VLOOKUP(A338,$F$4:$H$979,1,0),0)</f>
        <v>Rinconcito Celicano</v>
      </c>
      <c r="F338" s="6" t="s">
        <v>1408</v>
      </c>
      <c r="G338" s="6" t="s">
        <v>1409</v>
      </c>
      <c r="H338" s="6"/>
      <c r="I338" s="6"/>
    </row>
    <row r="339" spans="1:9" x14ac:dyDescent="0.3">
      <c r="A339" s="30" t="s">
        <v>353</v>
      </c>
      <c r="B339" s="32" t="s">
        <v>354</v>
      </c>
      <c r="C339" s="11" t="str">
        <f>IFERROR(VLOOKUP(A339,$F$4:$H$979,1,0),0)</f>
        <v>Riofrío Tecnico</v>
      </c>
      <c r="F339" s="22" t="s">
        <v>1057</v>
      </c>
      <c r="G339" s="22" t="s">
        <v>1058</v>
      </c>
      <c r="H339" s="6" t="s">
        <v>1243</v>
      </c>
      <c r="I339" s="6" t="s">
        <v>1253</v>
      </c>
    </row>
    <row r="340" spans="1:9" x14ac:dyDescent="0.3">
      <c r="A340" s="33" t="s">
        <v>355</v>
      </c>
      <c r="B340" s="31" t="s">
        <v>356</v>
      </c>
      <c r="C340" s="11" t="str">
        <f>IFERROR(VLOOKUP(A340,$F$4:$H$979,1,0),0)</f>
        <v>Rita Barba</v>
      </c>
      <c r="F340" s="22" t="s">
        <v>1060</v>
      </c>
      <c r="G340" s="22" t="s">
        <v>1061</v>
      </c>
      <c r="H340" s="6"/>
      <c r="I340" s="6" t="s">
        <v>1267</v>
      </c>
    </row>
    <row r="341" spans="1:9" x14ac:dyDescent="0.3">
      <c r="A341" s="30" t="s">
        <v>357</v>
      </c>
      <c r="B341" s="32" t="s">
        <v>358</v>
      </c>
      <c r="C341" s="11" t="str">
        <f>IFERROR(VLOOKUP(A341,$F$4:$H$979,1,0),0)</f>
        <v>Roberto Mora</v>
      </c>
      <c r="F341" s="4" t="s">
        <v>334</v>
      </c>
      <c r="G341" s="5" t="s">
        <v>335</v>
      </c>
      <c r="H341" s="5"/>
      <c r="I341" s="6" t="s">
        <v>1267</v>
      </c>
    </row>
    <row r="342" spans="1:9" x14ac:dyDescent="0.3">
      <c r="A342" s="33" t="s">
        <v>1423</v>
      </c>
      <c r="B342" s="31" t="s">
        <v>1424</v>
      </c>
      <c r="C342" s="11" t="str">
        <f>IFERROR(VLOOKUP(A342,$F$4:$H$979,1,0),0)</f>
        <v>Rocío Tienda Reina Del Rosario Mendoza</v>
      </c>
      <c r="F342" s="22" t="s">
        <v>1062</v>
      </c>
      <c r="G342" s="22" t="s">
        <v>1063</v>
      </c>
      <c r="H342" s="6"/>
      <c r="I342" s="6" t="s">
        <v>1267</v>
      </c>
    </row>
    <row r="343" spans="1:9" x14ac:dyDescent="0.3">
      <c r="A343" s="30" t="s">
        <v>359</v>
      </c>
      <c r="B343" s="32" t="s">
        <v>360</v>
      </c>
      <c r="C343" s="11" t="str">
        <f>IFERROR(VLOOKUP(A343,$F$4:$H$979,1,0),0)</f>
        <v>Rojo Cliente</v>
      </c>
      <c r="F343" s="6" t="s">
        <v>1411</v>
      </c>
      <c r="G343" s="6" t="s">
        <v>1412</v>
      </c>
      <c r="H343" s="6"/>
      <c r="I343" s="6"/>
    </row>
    <row r="344" spans="1:9" x14ac:dyDescent="0.3">
      <c r="A344" s="33" t="s">
        <v>1425</v>
      </c>
      <c r="B344" s="31" t="s">
        <v>1426</v>
      </c>
      <c r="C344" s="11" t="str">
        <f>IFERROR(VLOOKUP(A344,$F$4:$H$979,1,0),0)</f>
        <v>Ronny Arboleda</v>
      </c>
      <c r="F344" s="22" t="s">
        <v>1413</v>
      </c>
      <c r="G344" s="22" t="s">
        <v>1414</v>
      </c>
      <c r="H344" s="6"/>
      <c r="I344" s="6"/>
    </row>
    <row r="345" spans="1:9" x14ac:dyDescent="0.3">
      <c r="A345" s="30" t="s">
        <v>361</v>
      </c>
      <c r="B345" s="32" t="s">
        <v>362</v>
      </c>
      <c r="C345" s="11" t="str">
        <f>IFERROR(VLOOKUP(A345,$F$4:$H$979,1,0),0)</f>
        <v>Rosa Barahona</v>
      </c>
      <c r="F345" s="6" t="s">
        <v>336</v>
      </c>
      <c r="G345" s="7" t="s">
        <v>337</v>
      </c>
      <c r="H345" s="7"/>
      <c r="I345" s="6" t="s">
        <v>1267</v>
      </c>
    </row>
    <row r="346" spans="1:9" x14ac:dyDescent="0.3">
      <c r="A346" s="33" t="s">
        <v>1427</v>
      </c>
      <c r="B346" s="31" t="s">
        <v>1428</v>
      </c>
      <c r="C346" s="11" t="str">
        <f>IFERROR(VLOOKUP(A346,$F$4:$H$979,1,0),0)</f>
        <v>Rosa Campoverde</v>
      </c>
      <c r="F346" s="4" t="s">
        <v>338</v>
      </c>
      <c r="G346" s="5" t="s">
        <v>339</v>
      </c>
      <c r="H346" s="5" t="s">
        <v>540</v>
      </c>
      <c r="I346" s="6" t="s">
        <v>1255</v>
      </c>
    </row>
    <row r="347" spans="1:9" x14ac:dyDescent="0.3">
      <c r="A347" s="30" t="s">
        <v>363</v>
      </c>
      <c r="B347" s="32" t="s">
        <v>364</v>
      </c>
      <c r="C347" s="11" t="str">
        <f>IFERROR(VLOOKUP(A347,$F$4:$H$979,1,0),0)</f>
        <v>Rosa Elizalde</v>
      </c>
      <c r="F347" s="6" t="s">
        <v>340</v>
      </c>
      <c r="G347" s="7" t="s">
        <v>341</v>
      </c>
      <c r="H347" s="7"/>
      <c r="I347" s="6" t="s">
        <v>1267</v>
      </c>
    </row>
    <row r="348" spans="1:9" x14ac:dyDescent="0.3">
      <c r="A348" s="33" t="s">
        <v>1069</v>
      </c>
      <c r="B348" s="31" t="s">
        <v>1070</v>
      </c>
      <c r="C348" s="11" t="str">
        <f>IFERROR(VLOOKUP(A348,$F$4:$H$979,1,0),0)</f>
        <v>Rosa Ordoñez</v>
      </c>
      <c r="F348" s="22" t="s">
        <v>1064</v>
      </c>
      <c r="G348" s="22" t="s">
        <v>1065</v>
      </c>
      <c r="H348" s="6" t="s">
        <v>1244</v>
      </c>
      <c r="I348" s="6" t="s">
        <v>1253</v>
      </c>
    </row>
    <row r="349" spans="1:9" x14ac:dyDescent="0.3">
      <c r="A349" s="30" t="s">
        <v>365</v>
      </c>
      <c r="B349" s="32" t="s">
        <v>366</v>
      </c>
      <c r="C349" s="11" t="str">
        <f>IFERROR(VLOOKUP(A349,$F$4:$H$979,1,0),0)</f>
        <v>Rosa Ordóñez</v>
      </c>
      <c r="F349" s="4" t="s">
        <v>342</v>
      </c>
      <c r="G349" s="5" t="s">
        <v>343</v>
      </c>
      <c r="H349" s="5"/>
      <c r="I349" s="6" t="s">
        <v>1261</v>
      </c>
    </row>
    <row r="350" spans="1:9" x14ac:dyDescent="0.3">
      <c r="A350" s="33" t="s">
        <v>1071</v>
      </c>
      <c r="B350" s="31" t="s">
        <v>103</v>
      </c>
      <c r="C350" s="11" t="str">
        <f>IFERROR(VLOOKUP(A350,$F$4:$H$979,1,0),0)</f>
        <v>Rosario Chamba</v>
      </c>
      <c r="F350" s="22" t="s">
        <v>1415</v>
      </c>
      <c r="G350" s="22" t="s">
        <v>1416</v>
      </c>
      <c r="H350" s="6"/>
      <c r="I350" s="6"/>
    </row>
    <row r="351" spans="1:9" x14ac:dyDescent="0.3">
      <c r="A351" s="30" t="s">
        <v>367</v>
      </c>
      <c r="B351" s="32" t="s">
        <v>1072</v>
      </c>
      <c r="C351" s="11" t="str">
        <f>IFERROR(VLOOKUP(A351,$F$4:$H$979,1,0),0)</f>
        <v>Rosario Robles</v>
      </c>
      <c r="F351" s="4" t="s">
        <v>344</v>
      </c>
      <c r="G351" s="5" t="s">
        <v>345</v>
      </c>
      <c r="H351" s="5" t="s">
        <v>541</v>
      </c>
      <c r="I351" s="6" t="s">
        <v>1256</v>
      </c>
    </row>
    <row r="352" spans="1:9" x14ac:dyDescent="0.3">
      <c r="A352" s="33" t="s">
        <v>369</v>
      </c>
      <c r="B352" s="31" t="s">
        <v>370</v>
      </c>
      <c r="C352" s="11" t="str">
        <f>IFERROR(VLOOKUP(A352,$F$4:$H$979,1,0),0)</f>
        <v>Rosita León🦁</v>
      </c>
      <c r="F352" s="6" t="s">
        <v>344</v>
      </c>
      <c r="G352" s="7" t="s">
        <v>346</v>
      </c>
      <c r="H352" s="7" t="s">
        <v>541</v>
      </c>
      <c r="I352" s="6" t="s">
        <v>1256</v>
      </c>
    </row>
    <row r="353" spans="1:9" x14ac:dyDescent="0.3">
      <c r="A353" s="30" t="s">
        <v>1429</v>
      </c>
      <c r="B353" s="32" t="s">
        <v>1431</v>
      </c>
      <c r="C353" s="11" t="str">
        <f>IFERROR(VLOOKUP(A353,$F$4:$H$979,1,0),0)</f>
        <v>Ruth Piedra Algarrobillo</v>
      </c>
      <c r="F353" s="4" t="s">
        <v>347</v>
      </c>
      <c r="G353" s="5" t="s">
        <v>348</v>
      </c>
      <c r="H353" s="5"/>
      <c r="I353" s="6" t="s">
        <v>1267</v>
      </c>
    </row>
    <row r="354" spans="1:9" x14ac:dyDescent="0.3">
      <c r="A354" s="33" t="s">
        <v>1432</v>
      </c>
      <c r="B354" s="31" t="s">
        <v>1433</v>
      </c>
      <c r="C354" s="11" t="str">
        <f>IFERROR(VLOOKUP(A354,$F$4:$H$979,1,0),0)</f>
        <v>Ruth Piedra Algarrobillo 2</v>
      </c>
      <c r="F354" s="22" t="s">
        <v>1417</v>
      </c>
      <c r="G354" s="22" t="s">
        <v>1418</v>
      </c>
      <c r="H354" s="6"/>
      <c r="I354" s="6"/>
    </row>
    <row r="355" spans="1:9" x14ac:dyDescent="0.3">
      <c r="A355" s="30" t="s">
        <v>371</v>
      </c>
      <c r="B355" s="32" t="s">
        <v>372</v>
      </c>
      <c r="C355" s="11" t="str">
        <f>IFERROR(VLOOKUP(A355,$F$4:$H$979,1,0),0)</f>
        <v>San Juaquin</v>
      </c>
      <c r="F355" s="6" t="s">
        <v>1066</v>
      </c>
      <c r="G355" s="6" t="s">
        <v>1067</v>
      </c>
      <c r="H355" s="6"/>
      <c r="I355" s="6" t="s">
        <v>1267</v>
      </c>
    </row>
    <row r="356" spans="1:9" x14ac:dyDescent="0.3">
      <c r="A356" s="33" t="s">
        <v>1434</v>
      </c>
      <c r="B356" s="31" t="s">
        <v>1435</v>
      </c>
      <c r="C356" s="11" t="str">
        <f>IFERROR(VLOOKUP(A356,$F$4:$H$979,1,0),0)</f>
        <v>Sandra Herraez</v>
      </c>
      <c r="F356" s="4" t="s">
        <v>349</v>
      </c>
      <c r="G356" s="5" t="s">
        <v>350</v>
      </c>
      <c r="H356" s="5"/>
      <c r="I356" s="6" t="s">
        <v>1267</v>
      </c>
    </row>
    <row r="357" spans="1:9" x14ac:dyDescent="0.3">
      <c r="A357" s="30" t="s">
        <v>373</v>
      </c>
      <c r="B357" s="32" t="s">
        <v>374</v>
      </c>
      <c r="C357" s="11" t="str">
        <f>IFERROR(VLOOKUP(A357,$F$4:$H$979,1,0),0)</f>
        <v>Sandy Espinoza</v>
      </c>
      <c r="F357" s="22" t="s">
        <v>1419</v>
      </c>
      <c r="G357" s="22" t="s">
        <v>1420</v>
      </c>
      <c r="H357" s="6"/>
      <c r="I357" s="6"/>
    </row>
    <row r="358" spans="1:9" x14ac:dyDescent="0.3">
      <c r="A358" s="33" t="s">
        <v>1073</v>
      </c>
      <c r="B358" s="31" t="s">
        <v>1074</v>
      </c>
      <c r="C358" s="11" t="str">
        <f>IFERROR(VLOOKUP(A358,$F$4:$H$979,1,0),0)</f>
        <v>Sargento Vallejo V</v>
      </c>
      <c r="F358" s="6" t="s">
        <v>351</v>
      </c>
      <c r="G358" s="7" t="s">
        <v>352</v>
      </c>
      <c r="H358" s="7"/>
      <c r="I358" s="6" t="s">
        <v>1267</v>
      </c>
    </row>
    <row r="359" spans="1:9" x14ac:dyDescent="0.3">
      <c r="A359" s="30" t="s">
        <v>1075</v>
      </c>
      <c r="B359" s="32" t="s">
        <v>1076</v>
      </c>
      <c r="C359" s="11" t="str">
        <f>IFERROR(VLOOKUP(A359,$F$4:$H$979,1,0),0)</f>
        <v>Segundo Reyes</v>
      </c>
      <c r="F359" s="22" t="s">
        <v>1421</v>
      </c>
      <c r="G359" s="22" t="s">
        <v>1422</v>
      </c>
      <c r="H359" s="6"/>
      <c r="I359" s="6"/>
    </row>
    <row r="360" spans="1:9" x14ac:dyDescent="0.3">
      <c r="A360" s="33" t="s">
        <v>375</v>
      </c>
      <c r="B360" s="31" t="s">
        <v>376</v>
      </c>
      <c r="C360" s="11" t="str">
        <f>IFERROR(VLOOKUP(A360,$F$4:$H$979,1,0),0)</f>
        <v>Sergio Arteaga P</v>
      </c>
      <c r="F360" s="22" t="s">
        <v>1068</v>
      </c>
      <c r="G360" s="22" t="s">
        <v>67</v>
      </c>
      <c r="H360" s="6" t="s">
        <v>1245</v>
      </c>
      <c r="I360" s="6" t="s">
        <v>1260</v>
      </c>
    </row>
    <row r="361" spans="1:9" x14ac:dyDescent="0.3">
      <c r="A361" s="30" t="s">
        <v>377</v>
      </c>
      <c r="B361" s="32" t="s">
        <v>378</v>
      </c>
      <c r="C361" s="11" t="str">
        <f>IFERROR(VLOOKUP(A361,$F$4:$H$979,1,0),0)</f>
        <v>Sinche</v>
      </c>
      <c r="F361" s="4" t="s">
        <v>353</v>
      </c>
      <c r="G361" s="5" t="s">
        <v>354</v>
      </c>
      <c r="H361" s="5"/>
      <c r="I361" s="6" t="s">
        <v>1261</v>
      </c>
    </row>
    <row r="362" spans="1:9" x14ac:dyDescent="0.3">
      <c r="A362" s="33" t="s">
        <v>590</v>
      </c>
      <c r="B362" s="31" t="s">
        <v>591</v>
      </c>
      <c r="C362" s="11" t="str">
        <f>IFERROR(VLOOKUP(A362,$F$4:$H$979,1,0),0)</f>
        <v>Sra.Jenny Mendoza</v>
      </c>
      <c r="F362" s="6" t="s">
        <v>355</v>
      </c>
      <c r="G362" s="7" t="s">
        <v>356</v>
      </c>
      <c r="H362" s="7" t="s">
        <v>1246</v>
      </c>
      <c r="I362" s="6" t="s">
        <v>1255</v>
      </c>
    </row>
    <row r="363" spans="1:9" x14ac:dyDescent="0.3">
      <c r="A363" s="30" t="s">
        <v>592</v>
      </c>
      <c r="B363" s="32" t="s">
        <v>593</v>
      </c>
      <c r="C363" s="11" t="str">
        <f>IFERROR(VLOOKUP(A363,$F$4:$H$979,1,0),0)</f>
        <v>Stalin Alvear</v>
      </c>
      <c r="F363" s="4" t="s">
        <v>357</v>
      </c>
      <c r="G363" s="5" t="s">
        <v>358</v>
      </c>
      <c r="H363" s="5"/>
      <c r="I363" s="6" t="s">
        <v>1267</v>
      </c>
    </row>
    <row r="364" spans="1:9" x14ac:dyDescent="0.3">
      <c r="A364" s="33" t="s">
        <v>381</v>
      </c>
      <c r="B364" s="31" t="s">
        <v>382</v>
      </c>
      <c r="C364" s="11" t="str">
        <f>IFERROR(VLOOKUP(A364,$F$4:$H$979,1,0),0)</f>
        <v>Stalin Landi</v>
      </c>
      <c r="F364" s="6" t="s">
        <v>1423</v>
      </c>
      <c r="G364" s="6" t="s">
        <v>1424</v>
      </c>
      <c r="H364" s="6"/>
      <c r="I364" s="6"/>
    </row>
    <row r="365" spans="1:9" x14ac:dyDescent="0.3">
      <c r="A365" s="30" t="s">
        <v>383</v>
      </c>
      <c r="B365" s="32" t="s">
        <v>384</v>
      </c>
      <c r="C365" s="11" t="str">
        <f>IFERROR(VLOOKUP(A365,$F$4:$H$979,1,0),0)</f>
        <v>Stalin Landi1</v>
      </c>
      <c r="F365" s="6" t="s">
        <v>359</v>
      </c>
      <c r="G365" s="7" t="s">
        <v>360</v>
      </c>
      <c r="H365" s="7"/>
      <c r="I365" s="6" t="s">
        <v>1267</v>
      </c>
    </row>
    <row r="366" spans="1:9" x14ac:dyDescent="0.3">
      <c r="A366" s="33" t="s">
        <v>1077</v>
      </c>
      <c r="B366" s="31" t="s">
        <v>1078</v>
      </c>
      <c r="C366" s="11" t="str">
        <f>IFERROR(VLOOKUP(A366,$F$4:$H$979,1,0),0)</f>
        <v>Stefania Vallejo</v>
      </c>
      <c r="F366" s="6" t="s">
        <v>1425</v>
      </c>
      <c r="G366" s="6" t="s">
        <v>1426</v>
      </c>
      <c r="H366" s="6"/>
      <c r="I366" s="6"/>
    </row>
    <row r="367" spans="1:9" x14ac:dyDescent="0.3">
      <c r="A367" s="30" t="s">
        <v>1436</v>
      </c>
      <c r="B367" s="32" t="s">
        <v>1437</v>
      </c>
      <c r="C367" s="11" t="str">
        <f>IFERROR(VLOOKUP(A367,$F$4:$H$979,1,0),0)</f>
        <v>Stefanya Ceviche</v>
      </c>
      <c r="F367" s="4" t="s">
        <v>361</v>
      </c>
      <c r="G367" s="5" t="s">
        <v>362</v>
      </c>
      <c r="H367" s="5"/>
      <c r="I367" s="6" t="s">
        <v>1261</v>
      </c>
    </row>
    <row r="368" spans="1:9" x14ac:dyDescent="0.3">
      <c r="A368" s="33" t="s">
        <v>594</v>
      </c>
      <c r="B368" s="31" t="s">
        <v>595</v>
      </c>
      <c r="C368" s="11" t="str">
        <f>IFERROR(VLOOKUP(A368,$F$4:$H$979,1,0),0)</f>
        <v>Super Cerry 200</v>
      </c>
      <c r="F368" s="6" t="s">
        <v>1427</v>
      </c>
      <c r="G368" s="6" t="s">
        <v>1428</v>
      </c>
      <c r="H368" s="6"/>
      <c r="I368" s="6"/>
    </row>
    <row r="369" spans="1:9" x14ac:dyDescent="0.3">
      <c r="A369" s="30" t="s">
        <v>1438</v>
      </c>
      <c r="B369" s="32" t="s">
        <v>1439</v>
      </c>
      <c r="C369" s="11" t="str">
        <f>IFERROR(VLOOKUP(A369,$F$4:$H$979,1,0),0)</f>
        <v>Supercable Celica</v>
      </c>
      <c r="F369" s="6" t="s">
        <v>363</v>
      </c>
      <c r="G369" s="7" t="s">
        <v>364</v>
      </c>
      <c r="H369" s="7"/>
      <c r="I369" s="6" t="s">
        <v>1267</v>
      </c>
    </row>
    <row r="370" spans="1:9" x14ac:dyDescent="0.3">
      <c r="A370" s="33" t="s">
        <v>385</v>
      </c>
      <c r="B370" s="31" t="s">
        <v>386</v>
      </c>
      <c r="C370" s="11" t="str">
        <f>IFERROR(VLOOKUP(A370,$F$4:$H$979,1,0),0)</f>
        <v>Susan Benites</v>
      </c>
      <c r="F370" s="6" t="s">
        <v>1069</v>
      </c>
      <c r="G370" s="6" t="s">
        <v>1070</v>
      </c>
      <c r="H370" s="6"/>
      <c r="I370" s="6" t="s">
        <v>1257</v>
      </c>
    </row>
    <row r="371" spans="1:9" x14ac:dyDescent="0.3">
      <c r="A371" s="30" t="s">
        <v>387</v>
      </c>
      <c r="B371" s="32" t="s">
        <v>388</v>
      </c>
      <c r="C371" s="11" t="str">
        <f>IFERROR(VLOOKUP(A371,$F$4:$H$979,1,0),0)</f>
        <v>Taller Beniz</v>
      </c>
      <c r="F371" s="4" t="s">
        <v>365</v>
      </c>
      <c r="G371" s="5" t="s">
        <v>366</v>
      </c>
      <c r="H371" s="5"/>
      <c r="I371" s="6" t="s">
        <v>1257</v>
      </c>
    </row>
    <row r="372" spans="1:9" x14ac:dyDescent="0.3">
      <c r="A372" s="33" t="s">
        <v>1079</v>
      </c>
      <c r="B372" s="31" t="s">
        <v>1080</v>
      </c>
      <c r="C372" s="11" t="str">
        <f>IFERROR(VLOOKUP(A372,$F$4:$H$979,1,0),0)</f>
        <v>Tarquino Orbe</v>
      </c>
      <c r="F372" s="6" t="s">
        <v>1071</v>
      </c>
      <c r="G372" s="6" t="s">
        <v>103</v>
      </c>
      <c r="H372" s="6"/>
      <c r="I372" s="6" t="s">
        <v>1267</v>
      </c>
    </row>
    <row r="373" spans="1:9" x14ac:dyDescent="0.3">
      <c r="A373" s="30" t="s">
        <v>1440</v>
      </c>
      <c r="B373" s="32" t="s">
        <v>1441</v>
      </c>
      <c r="C373" s="11" t="str">
        <f>IFERROR(VLOOKUP(A373,$F$4:$H$979,1,0),0)</f>
        <v>Tatiana Gálvez Lucarqui</v>
      </c>
      <c r="F373" s="6" t="s">
        <v>367</v>
      </c>
      <c r="G373" s="7" t="s">
        <v>368</v>
      </c>
      <c r="H373" s="7" t="s">
        <v>498</v>
      </c>
      <c r="I373" s="6" t="s">
        <v>1267</v>
      </c>
    </row>
    <row r="374" spans="1:9" x14ac:dyDescent="0.3">
      <c r="A374" s="33" t="s">
        <v>389</v>
      </c>
      <c r="B374" s="31" t="s">
        <v>390</v>
      </c>
      <c r="C374" s="11" t="str">
        <f>IFERROR(VLOOKUP(A374,$F$4:$H$979,1,0),0)</f>
        <v>Tefa Bustamante</v>
      </c>
      <c r="F374" s="4" t="s">
        <v>369</v>
      </c>
      <c r="G374" s="5" t="s">
        <v>370</v>
      </c>
      <c r="H374" s="5"/>
      <c r="I374" s="6" t="s">
        <v>1267</v>
      </c>
    </row>
    <row r="375" spans="1:9" x14ac:dyDescent="0.3">
      <c r="A375" s="30" t="s">
        <v>391</v>
      </c>
      <c r="B375" s="32" t="s">
        <v>392</v>
      </c>
      <c r="C375" s="11" t="str">
        <f>IFERROR(VLOOKUP(A375,$F$4:$H$979,1,0),0)</f>
        <v>Telmo Silva</v>
      </c>
      <c r="F375" s="22" t="s">
        <v>1429</v>
      </c>
      <c r="G375" s="22" t="s">
        <v>1431</v>
      </c>
      <c r="H375" s="6"/>
      <c r="I375" s="6"/>
    </row>
    <row r="376" spans="1:9" x14ac:dyDescent="0.3">
      <c r="A376" s="33" t="s">
        <v>393</v>
      </c>
      <c r="B376" s="31" t="s">
        <v>394</v>
      </c>
      <c r="C376" s="11" t="str">
        <f>IFERROR(VLOOKUP(A376,$F$4:$H$979,1,0),0)</f>
        <v>Teodoro Calva</v>
      </c>
      <c r="F376" s="6" t="s">
        <v>1432</v>
      </c>
      <c r="G376" s="6" t="s">
        <v>1433</v>
      </c>
      <c r="H376" s="6"/>
      <c r="I376" s="6"/>
    </row>
    <row r="377" spans="1:9" x14ac:dyDescent="0.3">
      <c r="A377" s="30" t="s">
        <v>395</v>
      </c>
      <c r="B377" s="32" t="s">
        <v>396</v>
      </c>
      <c r="C377" s="11" t="str">
        <f>IFERROR(VLOOKUP(A377,$F$4:$H$979,1,0),0)</f>
        <v>Terminal Bunche</v>
      </c>
      <c r="F377" s="6" t="s">
        <v>371</v>
      </c>
      <c r="G377" s="7" t="s">
        <v>372</v>
      </c>
      <c r="H377" s="7" t="s">
        <v>499</v>
      </c>
      <c r="I377" s="6" t="s">
        <v>1259</v>
      </c>
    </row>
    <row r="378" spans="1:9" x14ac:dyDescent="0.3">
      <c r="A378" s="33" t="s">
        <v>397</v>
      </c>
      <c r="B378" s="31" t="s">
        <v>398</v>
      </c>
      <c r="C378" s="11" t="str">
        <f>IFERROR(VLOOKUP(A378,$F$4:$H$979,1,0),0)</f>
        <v>Tienda Confraternidad</v>
      </c>
      <c r="F378" s="6" t="s">
        <v>1434</v>
      </c>
      <c r="G378" s="6" t="s">
        <v>1435</v>
      </c>
      <c r="H378" s="6"/>
      <c r="I378" s="6"/>
    </row>
    <row r="379" spans="1:9" x14ac:dyDescent="0.3">
      <c r="A379" s="30" t="s">
        <v>399</v>
      </c>
      <c r="B379" s="32" t="s">
        <v>400</v>
      </c>
      <c r="C379" s="11" t="str">
        <f>IFERROR(VLOOKUP(A379,$F$4:$H$979,1,0),0)</f>
        <v>Tienda divino Niño 5 de sep</v>
      </c>
      <c r="F379" s="36" t="s">
        <v>373</v>
      </c>
      <c r="G379" s="39" t="s">
        <v>374</v>
      </c>
      <c r="H379" s="41"/>
      <c r="I379" s="34" t="s">
        <v>1267</v>
      </c>
    </row>
    <row r="380" spans="1:9" x14ac:dyDescent="0.3">
      <c r="A380" s="33" t="s">
        <v>401</v>
      </c>
      <c r="B380" s="31" t="s">
        <v>402</v>
      </c>
      <c r="C380" s="11" t="str">
        <f>IFERROR(VLOOKUP(A380,$F$4:$H$979,1,0),0)</f>
        <v>Tienda Karlita</v>
      </c>
      <c r="F380" s="35" t="s">
        <v>1073</v>
      </c>
      <c r="G380" s="32" t="s">
        <v>1074</v>
      </c>
      <c r="H380" s="34"/>
      <c r="I380" s="34" t="s">
        <v>1262</v>
      </c>
    </row>
    <row r="381" spans="1:9" x14ac:dyDescent="0.3">
      <c r="A381" s="30" t="s">
        <v>403</v>
      </c>
      <c r="B381" s="32" t="s">
        <v>404</v>
      </c>
      <c r="C381" s="11" t="str">
        <f>IFERROR(VLOOKUP(A381,$F$4:$H$979,1,0),0)</f>
        <v>Tienda seguro</v>
      </c>
      <c r="F381" s="34" t="s">
        <v>1075</v>
      </c>
      <c r="G381" s="31" t="s">
        <v>1076</v>
      </c>
      <c r="H381" s="34"/>
      <c r="I381" s="34" t="s">
        <v>1267</v>
      </c>
    </row>
    <row r="382" spans="1:9" x14ac:dyDescent="0.3">
      <c r="A382" s="33" t="s">
        <v>405</v>
      </c>
      <c r="B382" s="31" t="s">
        <v>406</v>
      </c>
      <c r="C382" s="11" t="str">
        <f>IFERROR(VLOOKUP(A382,$F$4:$H$979,1,0),0)</f>
        <v>Toño Villalta</v>
      </c>
      <c r="F382" s="34" t="s">
        <v>375</v>
      </c>
      <c r="G382" s="38" t="s">
        <v>376</v>
      </c>
      <c r="H382" s="40"/>
      <c r="I382" s="34" t="s">
        <v>1267</v>
      </c>
    </row>
    <row r="383" spans="1:9" x14ac:dyDescent="0.3">
      <c r="A383" s="30" t="s">
        <v>1442</v>
      </c>
      <c r="B383" s="32" t="s">
        <v>1443</v>
      </c>
      <c r="C383" s="11" t="str">
        <f>IFERROR(VLOOKUP(A383,$F$4:$H$979,1,0),0)</f>
        <v>Transpaltense Loja</v>
      </c>
      <c r="F383" s="36" t="s">
        <v>377</v>
      </c>
      <c r="G383" s="39" t="s">
        <v>378</v>
      </c>
      <c r="H383" s="41"/>
      <c r="I383" s="34" t="s">
        <v>1267</v>
      </c>
    </row>
    <row r="384" spans="1:9" x14ac:dyDescent="0.3">
      <c r="A384" s="33" t="s">
        <v>1081</v>
      </c>
      <c r="B384" s="31" t="s">
        <v>1082</v>
      </c>
      <c r="C384" s="11" t="str">
        <f>IFERROR(VLOOKUP(A384,$F$4:$H$979,1,0),0)</f>
        <v>Transupaltense</v>
      </c>
      <c r="F384" s="34" t="s">
        <v>379</v>
      </c>
      <c r="G384" s="38" t="s">
        <v>380</v>
      </c>
      <c r="H384" s="40"/>
      <c r="I384" s="34" t="s">
        <v>1267</v>
      </c>
    </row>
    <row r="385" spans="1:9" x14ac:dyDescent="0.3">
      <c r="A385" s="30" t="s">
        <v>407</v>
      </c>
      <c r="B385" s="32" t="s">
        <v>408</v>
      </c>
      <c r="C385" s="11" t="str">
        <f>IFERROR(VLOOKUP(A385,$F$4:$H$979,1,0),0)</f>
        <v>TURISMO</v>
      </c>
      <c r="F385" s="34" t="s">
        <v>590</v>
      </c>
      <c r="G385" s="37" t="s">
        <v>591</v>
      </c>
      <c r="H385" s="34"/>
      <c r="I385" s="34" t="s">
        <v>1258</v>
      </c>
    </row>
    <row r="386" spans="1:9" x14ac:dyDescent="0.3">
      <c r="A386" s="33" t="s">
        <v>1083</v>
      </c>
      <c r="B386" s="31" t="s">
        <v>1084</v>
      </c>
      <c r="C386" s="11" t="str">
        <f>IFERROR(VLOOKUP(A386,$F$4:$H$979,1,0),0)</f>
        <v>Uriel Cardenas</v>
      </c>
      <c r="F386" s="34" t="s">
        <v>592</v>
      </c>
      <c r="G386" s="37" t="s">
        <v>593</v>
      </c>
      <c r="H386" s="34"/>
      <c r="I386" s="34" t="s">
        <v>1257</v>
      </c>
    </row>
    <row r="387" spans="1:9" x14ac:dyDescent="0.3">
      <c r="A387" s="30" t="s">
        <v>1444</v>
      </c>
      <c r="B387" s="32" t="s">
        <v>1445</v>
      </c>
      <c r="C387" s="11" t="str">
        <f>IFERROR(VLOOKUP(A387,$F$4:$H$979,1,0),0)</f>
        <v>UTPL</v>
      </c>
      <c r="F387" s="36" t="s">
        <v>381</v>
      </c>
      <c r="G387" s="39" t="s">
        <v>382</v>
      </c>
      <c r="H387" s="41" t="s">
        <v>500</v>
      </c>
      <c r="I387" s="34" t="s">
        <v>1261</v>
      </c>
    </row>
    <row r="388" spans="1:9" x14ac:dyDescent="0.3">
      <c r="A388" s="33" t="s">
        <v>1446</v>
      </c>
      <c r="B388" s="31" t="s">
        <v>1447</v>
      </c>
      <c r="C388" s="11" t="str">
        <f>IFERROR(VLOOKUP(A388,$F$4:$H$979,1,0),0)</f>
        <v>Valeria Gálvez</v>
      </c>
      <c r="F388" s="34" t="s">
        <v>383</v>
      </c>
      <c r="G388" s="38" t="s">
        <v>384</v>
      </c>
      <c r="H388" s="40" t="s">
        <v>500</v>
      </c>
      <c r="I388" s="34" t="s">
        <v>1261</v>
      </c>
    </row>
    <row r="389" spans="1:9" x14ac:dyDescent="0.3">
      <c r="A389" s="30" t="s">
        <v>409</v>
      </c>
      <c r="B389" s="32" t="s">
        <v>410</v>
      </c>
      <c r="C389" s="11" t="str">
        <f>IFERROR(VLOOKUP(A389,$F$4:$H$979,1,0),0)</f>
        <v>Valeria Ramírez</v>
      </c>
      <c r="F389" s="34" t="s">
        <v>1077</v>
      </c>
      <c r="G389" s="31" t="s">
        <v>1078</v>
      </c>
      <c r="H389" s="34"/>
      <c r="I389" s="34" t="s">
        <v>1267</v>
      </c>
    </row>
    <row r="390" spans="1:9" x14ac:dyDescent="0.3">
      <c r="A390" s="33" t="s">
        <v>411</v>
      </c>
      <c r="B390" s="31" t="s">
        <v>412</v>
      </c>
      <c r="C390" s="11" t="str">
        <f>IFERROR(VLOOKUP(A390,$F$4:$H$979,1,0),0)</f>
        <v>Vanesa Camacho</v>
      </c>
      <c r="F390" s="35" t="s">
        <v>1436</v>
      </c>
      <c r="G390" s="32" t="s">
        <v>1437</v>
      </c>
      <c r="H390" s="34"/>
      <c r="I390" s="34"/>
    </row>
    <row r="391" spans="1:9" x14ac:dyDescent="0.3">
      <c r="A391" s="30" t="s">
        <v>413</v>
      </c>
      <c r="B391" s="32" t="s">
        <v>414</v>
      </c>
      <c r="C391" s="11" t="str">
        <f>IFERROR(VLOOKUP(A391,$F$4:$H$979,1,0),0)</f>
        <v>Venado</v>
      </c>
      <c r="F391" s="34" t="s">
        <v>594</v>
      </c>
      <c r="G391" s="37" t="s">
        <v>595</v>
      </c>
      <c r="H391" s="34"/>
      <c r="I391" s="34" t="s">
        <v>1267</v>
      </c>
    </row>
    <row r="392" spans="1:9" x14ac:dyDescent="0.3">
      <c r="A392" s="33" t="s">
        <v>597</v>
      </c>
      <c r="B392" s="31" t="s">
        <v>598</v>
      </c>
      <c r="C392" s="11" t="str">
        <f>IFERROR(VLOOKUP(A392,$F$4:$H$979,1,0),0)</f>
        <v>Venado 2</v>
      </c>
      <c r="F392" s="35" t="s">
        <v>1438</v>
      </c>
      <c r="G392" s="32" t="s">
        <v>1439</v>
      </c>
      <c r="H392" s="34"/>
      <c r="I392" s="34"/>
    </row>
    <row r="393" spans="1:9" x14ac:dyDescent="0.3">
      <c r="A393" s="30" t="s">
        <v>415</v>
      </c>
      <c r="B393" s="32" t="s">
        <v>416</v>
      </c>
      <c r="C393" s="11" t="str">
        <f>IFERROR(VLOOKUP(A393,$F$4:$H$979,1,0),0)</f>
        <v>Venezolano</v>
      </c>
      <c r="F393" s="36" t="s">
        <v>385</v>
      </c>
      <c r="G393" s="39" t="s">
        <v>386</v>
      </c>
      <c r="H393" s="41"/>
      <c r="I393" s="34" t="s">
        <v>1267</v>
      </c>
    </row>
    <row r="394" spans="1:9" x14ac:dyDescent="0.3">
      <c r="A394" s="33" t="s">
        <v>417</v>
      </c>
      <c r="B394" s="31" t="s">
        <v>418</v>
      </c>
      <c r="C394" s="11" t="str">
        <f>IFERROR(VLOOKUP(A394,$F$4:$H$979,1,0),0)</f>
        <v>VENTAS</v>
      </c>
      <c r="F394" s="34" t="s">
        <v>387</v>
      </c>
      <c r="G394" s="38" t="s">
        <v>388</v>
      </c>
      <c r="H394" s="40" t="s">
        <v>542</v>
      </c>
      <c r="I394" s="34" t="s">
        <v>1259</v>
      </c>
    </row>
    <row r="395" spans="1:9" x14ac:dyDescent="0.3">
      <c r="A395" s="30" t="s">
        <v>419</v>
      </c>
      <c r="B395" s="32" t="s">
        <v>420</v>
      </c>
      <c r="C395" s="11" t="str">
        <f>IFERROR(VLOOKUP(A395,$F$4:$H$979,1,0),0)</f>
        <v>Veronica Castillo</v>
      </c>
      <c r="F395" s="34" t="s">
        <v>596</v>
      </c>
      <c r="G395" s="37" t="s">
        <v>614</v>
      </c>
      <c r="H395" s="34"/>
      <c r="I395" s="34" t="s">
        <v>1267</v>
      </c>
    </row>
    <row r="396" spans="1:9" x14ac:dyDescent="0.3">
      <c r="A396" s="33" t="s">
        <v>1085</v>
      </c>
      <c r="B396" s="31" t="s">
        <v>1086</v>
      </c>
      <c r="C396" s="11" t="str">
        <f>IFERROR(VLOOKUP(A396,$F$4:$H$979,1,0),0)</f>
        <v>Vicente Roman</v>
      </c>
      <c r="F396" s="35" t="s">
        <v>1079</v>
      </c>
      <c r="G396" s="32" t="s">
        <v>1080</v>
      </c>
      <c r="H396" s="34"/>
      <c r="I396" s="34" t="s">
        <v>1260</v>
      </c>
    </row>
    <row r="397" spans="1:9" x14ac:dyDescent="0.3">
      <c r="A397" s="30" t="s">
        <v>1448</v>
      </c>
      <c r="B397" s="32" t="s">
        <v>1449</v>
      </c>
      <c r="C397" s="11" t="str">
        <f>IFERROR(VLOOKUP(A397,$F$4:$H$979,1,0),0)</f>
        <v>Viche Armijos</v>
      </c>
      <c r="F397" s="35" t="s">
        <v>1440</v>
      </c>
      <c r="G397" s="32" t="s">
        <v>1441</v>
      </c>
      <c r="H397" s="34"/>
      <c r="I397" s="34"/>
    </row>
    <row r="398" spans="1:9" x14ac:dyDescent="0.3">
      <c r="A398" s="33" t="s">
        <v>1450</v>
      </c>
      <c r="B398" s="31" t="s">
        <v>1451</v>
      </c>
      <c r="C398" s="11" t="str">
        <f>IFERROR(VLOOKUP(A398,$F$4:$H$979,1,0),0)</f>
        <v>Victoria Jaramillo</v>
      </c>
      <c r="F398" s="36" t="s">
        <v>389</v>
      </c>
      <c r="G398" s="39" t="s">
        <v>390</v>
      </c>
      <c r="H398" s="41"/>
      <c r="I398" s="34" t="s">
        <v>1267</v>
      </c>
    </row>
    <row r="399" spans="1:9" x14ac:dyDescent="0.3">
      <c r="A399" s="30" t="s">
        <v>421</v>
      </c>
      <c r="B399" s="32" t="s">
        <v>422</v>
      </c>
      <c r="C399" s="11" t="str">
        <f>IFERROR(VLOOKUP(A399,$F$4:$H$979,1,0),0)</f>
        <v>Vikita</v>
      </c>
      <c r="F399" s="34" t="s">
        <v>391</v>
      </c>
      <c r="G399" s="38" t="s">
        <v>392</v>
      </c>
      <c r="H399" s="40" t="s">
        <v>501</v>
      </c>
      <c r="I399" s="34" t="s">
        <v>1268</v>
      </c>
    </row>
    <row r="400" spans="1:9" x14ac:dyDescent="0.3">
      <c r="A400" s="33" t="s">
        <v>599</v>
      </c>
      <c r="B400" s="31" t="s">
        <v>600</v>
      </c>
      <c r="C400" s="11" t="str">
        <f>IFERROR(VLOOKUP(A400,$F$4:$H$979,1,0),0)</f>
        <v>Villa 102</v>
      </c>
      <c r="F400" s="36" t="s">
        <v>393</v>
      </c>
      <c r="G400" s="39" t="s">
        <v>394</v>
      </c>
      <c r="H400" s="41" t="s">
        <v>502</v>
      </c>
      <c r="I400" s="34" t="s">
        <v>1267</v>
      </c>
    </row>
    <row r="401" spans="1:9" x14ac:dyDescent="0.3">
      <c r="A401" s="30" t="s">
        <v>1452</v>
      </c>
      <c r="B401" s="32" t="s">
        <v>1453</v>
      </c>
      <c r="C401" s="11" t="str">
        <f>IFERROR(VLOOKUP(A401,$F$4:$H$979,1,0),0)</f>
        <v>Villa 102 Sofia 🌸</v>
      </c>
      <c r="F401" s="34" t="s">
        <v>395</v>
      </c>
      <c r="G401" s="38" t="s">
        <v>396</v>
      </c>
      <c r="H401" s="40"/>
      <c r="I401" s="34" t="s">
        <v>1258</v>
      </c>
    </row>
    <row r="402" spans="1:9" x14ac:dyDescent="0.3">
      <c r="A402" s="33" t="s">
        <v>1087</v>
      </c>
      <c r="B402" s="31" t="s">
        <v>1088</v>
      </c>
      <c r="C402" s="11" t="str">
        <f>IFERROR(VLOOKUP(A402,$F$4:$H$979,1,0),0)</f>
        <v>Villa 104 Benavides</v>
      </c>
      <c r="F402" s="36" t="s">
        <v>397</v>
      </c>
      <c r="G402" s="39" t="s">
        <v>398</v>
      </c>
      <c r="H402" s="41" t="s">
        <v>503</v>
      </c>
      <c r="I402" s="34" t="s">
        <v>1261</v>
      </c>
    </row>
    <row r="403" spans="1:9" x14ac:dyDescent="0.3">
      <c r="A403" s="30" t="s">
        <v>1089</v>
      </c>
      <c r="B403" s="32" t="s">
        <v>1090</v>
      </c>
      <c r="C403" s="11" t="str">
        <f>IFERROR(VLOOKUP(A403,$F$4:$H$979,1,0),0)</f>
        <v>Villa 108</v>
      </c>
      <c r="F403" s="34" t="s">
        <v>399</v>
      </c>
      <c r="G403" s="38" t="s">
        <v>400</v>
      </c>
      <c r="H403" s="40" t="s">
        <v>504</v>
      </c>
      <c r="I403" s="34" t="s">
        <v>1253</v>
      </c>
    </row>
    <row r="404" spans="1:9" x14ac:dyDescent="0.3">
      <c r="A404" s="33" t="s">
        <v>423</v>
      </c>
      <c r="B404" s="31" t="s">
        <v>424</v>
      </c>
      <c r="C404" s="11" t="str">
        <f>IFERROR(VLOOKUP(A404,$F$4:$H$979,1,0),0)</f>
        <v>villa 118</v>
      </c>
      <c r="F404" s="36" t="s">
        <v>401</v>
      </c>
      <c r="G404" s="39" t="s">
        <v>402</v>
      </c>
      <c r="H404" s="41"/>
      <c r="I404" s="34" t="s">
        <v>1258</v>
      </c>
    </row>
    <row r="405" spans="1:9" x14ac:dyDescent="0.3">
      <c r="A405" s="30" t="s">
        <v>1454</v>
      </c>
      <c r="B405" s="32" t="s">
        <v>430</v>
      </c>
      <c r="C405" s="11" t="str">
        <f>IFERROR(VLOOKUP(A405,$F$4:$H$979,1,0),0)</f>
        <v>Villa 2 215</v>
      </c>
      <c r="F405" s="34" t="s">
        <v>403</v>
      </c>
      <c r="G405" s="38" t="s">
        <v>404</v>
      </c>
      <c r="H405" s="40" t="s">
        <v>505</v>
      </c>
      <c r="I405" s="34" t="s">
        <v>1262</v>
      </c>
    </row>
    <row r="406" spans="1:9" x14ac:dyDescent="0.3">
      <c r="A406" s="33" t="s">
        <v>1455</v>
      </c>
      <c r="B406" s="31" t="s">
        <v>1456</v>
      </c>
      <c r="C406" s="11" t="str">
        <f>IFERROR(VLOOKUP(A406,$F$4:$H$979,1,0),0)</f>
        <v>Villa 205</v>
      </c>
      <c r="F406" s="36" t="s">
        <v>405</v>
      </c>
      <c r="G406" s="39" t="s">
        <v>406</v>
      </c>
      <c r="H406" s="41"/>
      <c r="I406" s="34" t="s">
        <v>1267</v>
      </c>
    </row>
    <row r="407" spans="1:9" x14ac:dyDescent="0.3">
      <c r="A407" s="30" t="s">
        <v>1091</v>
      </c>
      <c r="B407" s="32" t="s">
        <v>1092</v>
      </c>
      <c r="C407" s="11" t="str">
        <f>IFERROR(VLOOKUP(A407,$F$4:$H$979,1,0),0)</f>
        <v>Villa 206</v>
      </c>
      <c r="F407" s="35" t="s">
        <v>1442</v>
      </c>
      <c r="G407" s="32" t="s">
        <v>1443</v>
      </c>
      <c r="H407" s="34"/>
      <c r="I407" s="34"/>
    </row>
    <row r="408" spans="1:9" x14ac:dyDescent="0.3">
      <c r="A408" s="33" t="s">
        <v>514</v>
      </c>
      <c r="B408" s="31" t="s">
        <v>515</v>
      </c>
      <c r="C408" s="11" t="str">
        <f>IFERROR(VLOOKUP(A408,$F$4:$H$979,1,0),0)</f>
        <v>Villa 209</v>
      </c>
      <c r="F408" s="34" t="s">
        <v>1081</v>
      </c>
      <c r="G408" s="31" t="s">
        <v>1082</v>
      </c>
      <c r="H408" s="34"/>
      <c r="I408" s="34"/>
    </row>
    <row r="409" spans="1:9" x14ac:dyDescent="0.3">
      <c r="A409" s="30" t="s">
        <v>425</v>
      </c>
      <c r="B409" s="32" t="s">
        <v>426</v>
      </c>
      <c r="C409" s="11" t="str">
        <f>IFERROR(VLOOKUP(A409,$F$4:$H$979,1,0),0)</f>
        <v>Villa 210</v>
      </c>
      <c r="F409" s="34" t="s">
        <v>407</v>
      </c>
      <c r="G409" s="38" t="s">
        <v>408</v>
      </c>
      <c r="H409" s="40"/>
      <c r="I409" s="34" t="s">
        <v>1267</v>
      </c>
    </row>
    <row r="410" spans="1:9" x14ac:dyDescent="0.3">
      <c r="A410" s="33" t="s">
        <v>427</v>
      </c>
      <c r="B410" s="31" t="s">
        <v>428</v>
      </c>
      <c r="C410" s="11" t="str">
        <f>IFERROR(VLOOKUP(A410,$F$4:$H$979,1,0),0)</f>
        <v>Villa 211</v>
      </c>
      <c r="F410" s="35" t="s">
        <v>1083</v>
      </c>
      <c r="G410" s="32" t="s">
        <v>1084</v>
      </c>
      <c r="H410" s="34"/>
      <c r="I410" s="34" t="s">
        <v>1267</v>
      </c>
    </row>
    <row r="411" spans="1:9" x14ac:dyDescent="0.3">
      <c r="A411" s="30" t="s">
        <v>429</v>
      </c>
      <c r="B411" s="32" t="s">
        <v>1457</v>
      </c>
      <c r="C411" s="11" t="str">
        <f>IFERROR(VLOOKUP(A411,$F$4:$H$979,1,0),0)</f>
        <v>Villa 215</v>
      </c>
      <c r="F411" s="35" t="s">
        <v>1444</v>
      </c>
      <c r="G411" s="32" t="s">
        <v>1445</v>
      </c>
      <c r="H411" s="34"/>
      <c r="I411" s="34"/>
    </row>
    <row r="412" spans="1:9" x14ac:dyDescent="0.3">
      <c r="A412" s="33" t="s">
        <v>1458</v>
      </c>
      <c r="B412" s="31" t="s">
        <v>1459</v>
      </c>
      <c r="C412" s="11" t="str">
        <f>IFERROR(VLOOKUP(A412,$F$4:$H$979,1,0),0)</f>
        <v>Villa 219</v>
      </c>
      <c r="F412" s="34" t="s">
        <v>1446</v>
      </c>
      <c r="G412" s="31" t="s">
        <v>1447</v>
      </c>
      <c r="H412" s="34"/>
      <c r="I412" s="34"/>
    </row>
    <row r="413" spans="1:9" x14ac:dyDescent="0.3">
      <c r="A413" s="30" t="s">
        <v>431</v>
      </c>
      <c r="B413" s="32" t="s">
        <v>432</v>
      </c>
      <c r="C413" s="11" t="str">
        <f>IFERROR(VLOOKUP(A413,$F$4:$H$979,1,0),0)</f>
        <v>Villa 221</v>
      </c>
      <c r="F413" s="36" t="s">
        <v>409</v>
      </c>
      <c r="G413" s="39" t="s">
        <v>410</v>
      </c>
      <c r="H413" s="41"/>
      <c r="I413" s="34" t="s">
        <v>1267</v>
      </c>
    </row>
    <row r="414" spans="1:9" x14ac:dyDescent="0.3">
      <c r="A414" s="33" t="s">
        <v>433</v>
      </c>
      <c r="B414" s="31" t="s">
        <v>434</v>
      </c>
      <c r="C414" s="11" t="str">
        <f>IFERROR(VLOOKUP(A414,$F$4:$H$979,1,0),0)</f>
        <v>Villa 222</v>
      </c>
      <c r="F414" s="34" t="s">
        <v>411</v>
      </c>
      <c r="G414" s="38" t="s">
        <v>412</v>
      </c>
      <c r="H414" s="40" t="s">
        <v>506</v>
      </c>
      <c r="I414" s="34" t="s">
        <v>1258</v>
      </c>
    </row>
    <row r="415" spans="1:9" x14ac:dyDescent="0.3">
      <c r="A415" s="30" t="s">
        <v>1093</v>
      </c>
      <c r="B415" s="32" t="s">
        <v>1094</v>
      </c>
      <c r="C415" s="11" t="str">
        <f>IFERROR(VLOOKUP(A415,$F$4:$H$979,1,0),0)</f>
        <v>Villa 223</v>
      </c>
      <c r="F415" s="36" t="s">
        <v>413</v>
      </c>
      <c r="G415" s="39" t="s">
        <v>414</v>
      </c>
      <c r="H415" s="41" t="s">
        <v>507</v>
      </c>
      <c r="I415" s="34" t="s">
        <v>1263</v>
      </c>
    </row>
    <row r="416" spans="1:9" x14ac:dyDescent="0.3">
      <c r="A416" s="33" t="s">
        <v>435</v>
      </c>
      <c r="B416" s="31" t="s">
        <v>436</v>
      </c>
      <c r="C416" s="11" t="str">
        <f>IFERROR(VLOOKUP(A416,$F$4:$H$979,1,0),0)</f>
        <v>Villa 224</v>
      </c>
      <c r="F416" s="34" t="s">
        <v>597</v>
      </c>
      <c r="G416" s="37" t="s">
        <v>598</v>
      </c>
      <c r="H416" s="34"/>
      <c r="I416" s="34" t="s">
        <v>1263</v>
      </c>
    </row>
    <row r="417" spans="1:9" x14ac:dyDescent="0.3">
      <c r="A417" s="30" t="s">
        <v>1095</v>
      </c>
      <c r="B417" s="32" t="s">
        <v>1461</v>
      </c>
      <c r="C417" s="11" t="str">
        <f>IFERROR(VLOOKUP(A417,$F$4:$H$979,1,0),0)</f>
        <v>Villa 225</v>
      </c>
      <c r="F417" s="34" t="s">
        <v>415</v>
      </c>
      <c r="G417" s="38" t="s">
        <v>416</v>
      </c>
      <c r="H417" s="40"/>
      <c r="I417" s="34" t="s">
        <v>1268</v>
      </c>
    </row>
    <row r="418" spans="1:9" x14ac:dyDescent="0.3">
      <c r="A418" s="33" t="s">
        <v>437</v>
      </c>
      <c r="B418" s="31" t="s">
        <v>1097</v>
      </c>
      <c r="C418" s="11" t="str">
        <f>IFERROR(VLOOKUP(A418,$F$4:$H$979,1,0),0)</f>
        <v>Villa 226</v>
      </c>
      <c r="F418" s="36" t="s">
        <v>417</v>
      </c>
      <c r="G418" s="39" t="s">
        <v>418</v>
      </c>
      <c r="H418" s="41"/>
      <c r="I418" s="34" t="s">
        <v>1267</v>
      </c>
    </row>
    <row r="419" spans="1:9" x14ac:dyDescent="0.3">
      <c r="A419" s="30" t="s">
        <v>439</v>
      </c>
      <c r="B419" s="32" t="s">
        <v>1098</v>
      </c>
      <c r="C419" s="11" t="str">
        <f>IFERROR(VLOOKUP(A419,$F$4:$H$979,1,0),0)</f>
        <v>Villa 227</v>
      </c>
      <c r="F419" s="34" t="s">
        <v>419</v>
      </c>
      <c r="G419" s="38" t="s">
        <v>420</v>
      </c>
      <c r="H419" s="40"/>
      <c r="I419" s="34" t="s">
        <v>1267</v>
      </c>
    </row>
    <row r="420" spans="1:9" x14ac:dyDescent="0.3">
      <c r="A420" s="33" t="s">
        <v>1462</v>
      </c>
      <c r="B420" s="31" t="s">
        <v>1463</v>
      </c>
      <c r="C420" s="11" t="str">
        <f>IFERROR(VLOOKUP(A420,$F$4:$H$979,1,0),0)</f>
        <v>Villa 227 Carly</v>
      </c>
      <c r="F420" s="35" t="s">
        <v>1085</v>
      </c>
      <c r="G420" s="32" t="s">
        <v>1086</v>
      </c>
      <c r="H420" s="34"/>
      <c r="I420" s="34" t="s">
        <v>1267</v>
      </c>
    </row>
    <row r="421" spans="1:9" x14ac:dyDescent="0.3">
      <c r="A421" s="30" t="s">
        <v>1099</v>
      </c>
      <c r="B421" s="32" t="s">
        <v>1100</v>
      </c>
      <c r="C421" s="11" t="str">
        <f>IFERROR(VLOOKUP(A421,$F$4:$H$979,1,0),0)</f>
        <v>Villa 228 Cabo Puentestar</v>
      </c>
      <c r="F421" s="35" t="s">
        <v>1448</v>
      </c>
      <c r="G421" s="32" t="s">
        <v>1449</v>
      </c>
      <c r="H421" s="34"/>
      <c r="I421" s="34"/>
    </row>
    <row r="422" spans="1:9" x14ac:dyDescent="0.3">
      <c r="A422" s="33" t="s">
        <v>441</v>
      </c>
      <c r="B422" s="31" t="s">
        <v>601</v>
      </c>
      <c r="C422" s="11" t="str">
        <f>IFERROR(VLOOKUP(A422,$F$4:$H$979,1,0),0)</f>
        <v>Villa 228 N</v>
      </c>
      <c r="F422" s="34" t="s">
        <v>1450</v>
      </c>
      <c r="G422" s="31" t="s">
        <v>1451</v>
      </c>
      <c r="H422" s="34"/>
      <c r="I422" s="34"/>
    </row>
    <row r="423" spans="1:9" x14ac:dyDescent="0.3">
      <c r="A423" s="30" t="s">
        <v>602</v>
      </c>
      <c r="B423" s="32" t="s">
        <v>603</v>
      </c>
      <c r="C423" s="11" t="str">
        <f>IFERROR(VLOOKUP(A423,$F$4:$H$979,1,0),0)</f>
        <v>Villa 230</v>
      </c>
      <c r="F423" s="36" t="s">
        <v>421</v>
      </c>
      <c r="G423" s="39" t="s">
        <v>422</v>
      </c>
      <c r="H423" s="41"/>
      <c r="I423" s="34" t="s">
        <v>1267</v>
      </c>
    </row>
    <row r="424" spans="1:9" x14ac:dyDescent="0.3">
      <c r="A424" s="33" t="s">
        <v>604</v>
      </c>
      <c r="B424" s="31" t="s">
        <v>605</v>
      </c>
      <c r="C424" s="11" t="str">
        <f>IFERROR(VLOOKUP(A424,$F$4:$H$979,1,0),0)</f>
        <v>Villa 232</v>
      </c>
      <c r="F424" s="34" t="s">
        <v>599</v>
      </c>
      <c r="G424" s="37" t="s">
        <v>600</v>
      </c>
      <c r="H424" s="34"/>
      <c r="I424" s="34" t="s">
        <v>1262</v>
      </c>
    </row>
    <row r="425" spans="1:9" x14ac:dyDescent="0.3">
      <c r="A425" s="30" t="s">
        <v>1465</v>
      </c>
      <c r="B425" s="32" t="s">
        <v>1466</v>
      </c>
      <c r="C425" s="11" t="str">
        <f>IFERROR(VLOOKUP(A425,$F$4:$H$979,1,0),0)</f>
        <v>Villa 233</v>
      </c>
      <c r="F425" s="35" t="s">
        <v>1452</v>
      </c>
      <c r="G425" s="32" t="s">
        <v>1453</v>
      </c>
      <c r="H425" s="34"/>
      <c r="I425" s="34"/>
    </row>
    <row r="426" spans="1:9" x14ac:dyDescent="0.3">
      <c r="A426" s="33" t="s">
        <v>442</v>
      </c>
      <c r="B426" s="31" t="s">
        <v>443</v>
      </c>
      <c r="C426" s="11" t="str">
        <f>IFERROR(VLOOKUP(A426,$F$4:$H$979,1,0),0)</f>
        <v>Villa 238</v>
      </c>
      <c r="F426" s="34" t="s">
        <v>1087</v>
      </c>
      <c r="G426" s="31" t="s">
        <v>1088</v>
      </c>
      <c r="H426" s="34"/>
      <c r="I426" s="34" t="s">
        <v>1262</v>
      </c>
    </row>
    <row r="427" spans="1:9" x14ac:dyDescent="0.3">
      <c r="A427" s="30" t="s">
        <v>606</v>
      </c>
      <c r="B427" s="32" t="s">
        <v>607</v>
      </c>
      <c r="C427" s="11" t="str">
        <f>IFERROR(VLOOKUP(A427,$F$4:$H$979,1,0),0)</f>
        <v>Villa 241</v>
      </c>
      <c r="F427" s="35" t="s">
        <v>1089</v>
      </c>
      <c r="G427" s="32" t="s">
        <v>1090</v>
      </c>
      <c r="H427" s="34"/>
      <c r="I427" s="34" t="s">
        <v>1262</v>
      </c>
    </row>
    <row r="428" spans="1:9" x14ac:dyDescent="0.3">
      <c r="A428" s="33" t="s">
        <v>512</v>
      </c>
      <c r="B428" s="31" t="s">
        <v>1467</v>
      </c>
      <c r="C428" s="11" t="str">
        <f>IFERROR(VLOOKUP(A428,$F$4:$H$979,1,0),0)</f>
        <v>Villa 243</v>
      </c>
      <c r="F428" s="34" t="s">
        <v>423</v>
      </c>
      <c r="G428" s="38" t="s">
        <v>424</v>
      </c>
      <c r="H428" s="40" t="s">
        <v>510</v>
      </c>
      <c r="I428" s="34" t="s">
        <v>1262</v>
      </c>
    </row>
    <row r="429" spans="1:9" x14ac:dyDescent="0.3">
      <c r="A429" s="30" t="s">
        <v>1101</v>
      </c>
      <c r="B429" s="32" t="s">
        <v>1468</v>
      </c>
      <c r="C429" s="11" t="str">
        <f>IFERROR(VLOOKUP(A429,$F$4:$H$979,1,0),0)</f>
        <v>Villa 244</v>
      </c>
      <c r="F429" s="35" t="s">
        <v>1454</v>
      </c>
      <c r="G429" s="32" t="s">
        <v>430</v>
      </c>
      <c r="H429" s="34"/>
      <c r="I429" s="34"/>
    </row>
    <row r="430" spans="1:9" x14ac:dyDescent="0.3">
      <c r="A430" s="33" t="s">
        <v>1101</v>
      </c>
      <c r="B430" s="31" t="s">
        <v>1102</v>
      </c>
      <c r="C430" s="11" t="str">
        <f>IFERROR(VLOOKUP(A430,$F$4:$H$979,1,0),0)</f>
        <v>Villa 244</v>
      </c>
      <c r="F430" s="34" t="s">
        <v>1455</v>
      </c>
      <c r="G430" s="31" t="s">
        <v>1456</v>
      </c>
      <c r="H430" s="34"/>
      <c r="I430" s="34"/>
    </row>
    <row r="431" spans="1:9" x14ac:dyDescent="0.3">
      <c r="A431" s="30" t="s">
        <v>1469</v>
      </c>
      <c r="B431" s="32" t="s">
        <v>1470</v>
      </c>
      <c r="C431" s="11" t="str">
        <f>IFERROR(VLOOKUP(A431,$F$4:$H$979,1,0),0)</f>
        <v>Villa Prima</v>
      </c>
      <c r="F431" s="35" t="s">
        <v>1091</v>
      </c>
      <c r="G431" s="32" t="s">
        <v>1092</v>
      </c>
      <c r="H431" s="34"/>
      <c r="I431" s="34" t="s">
        <v>1262</v>
      </c>
    </row>
    <row r="432" spans="1:9" x14ac:dyDescent="0.3">
      <c r="A432" s="33" t="s">
        <v>1471</v>
      </c>
      <c r="B432" s="31" t="s">
        <v>1472</v>
      </c>
      <c r="C432" s="11" t="str">
        <f>IFERROR(VLOOKUP(A432,$F$4:$H$979,1,0),0)</f>
        <v>Vinicio Cardenas</v>
      </c>
      <c r="F432" s="36" t="s">
        <v>514</v>
      </c>
      <c r="G432" s="39" t="s">
        <v>515</v>
      </c>
      <c r="H432" s="41" t="s">
        <v>516</v>
      </c>
      <c r="I432" s="34" t="s">
        <v>1262</v>
      </c>
    </row>
    <row r="433" spans="1:9" x14ac:dyDescent="0.3">
      <c r="A433" s="30" t="s">
        <v>444</v>
      </c>
      <c r="B433" s="32" t="s">
        <v>445</v>
      </c>
      <c r="C433" s="11" t="str">
        <f>IFERROR(VLOOKUP(A433,$F$4:$H$979,1,0),0)</f>
        <v>Vinicio Cuartel</v>
      </c>
      <c r="F433" s="34" t="s">
        <v>425</v>
      </c>
      <c r="G433" s="38" t="s">
        <v>426</v>
      </c>
      <c r="H433" s="40" t="s">
        <v>509</v>
      </c>
      <c r="I433" s="34" t="s">
        <v>1262</v>
      </c>
    </row>
    <row r="434" spans="1:9" x14ac:dyDescent="0.3">
      <c r="A434" s="33" t="s">
        <v>446</v>
      </c>
      <c r="B434" s="31" t="s">
        <v>447</v>
      </c>
      <c r="C434" s="11" t="str">
        <f>IFERROR(VLOOKUP(A434,$F$4:$H$979,1,0),0)</f>
        <v>Vinicio Vera</v>
      </c>
      <c r="F434" s="36" t="s">
        <v>427</v>
      </c>
      <c r="G434" s="39" t="s">
        <v>428</v>
      </c>
      <c r="H434" s="41" t="s">
        <v>508</v>
      </c>
      <c r="I434" s="34" t="s">
        <v>1262</v>
      </c>
    </row>
    <row r="435" spans="1:9" x14ac:dyDescent="0.3">
      <c r="A435" s="30" t="s">
        <v>1473</v>
      </c>
      <c r="B435" s="32" t="s">
        <v>1474</v>
      </c>
      <c r="C435" s="11" t="str">
        <f>IFERROR(VLOOKUP(A435,$F$4:$H$979,1,0),0)</f>
        <v>Violeta Villa 229</v>
      </c>
      <c r="F435" s="34" t="s">
        <v>429</v>
      </c>
      <c r="G435" s="38" t="s">
        <v>430</v>
      </c>
      <c r="H435" s="40" t="s">
        <v>511</v>
      </c>
      <c r="I435" s="34" t="s">
        <v>1262</v>
      </c>
    </row>
    <row r="436" spans="1:9" x14ac:dyDescent="0.3">
      <c r="A436" s="33" t="s">
        <v>1475</v>
      </c>
      <c r="B436" s="31" t="s">
        <v>1476</v>
      </c>
      <c r="C436" s="11" t="str">
        <f>IFERROR(VLOOKUP(A436,$F$4:$H$979,1,0),0)</f>
        <v>Viviana Ortiz</v>
      </c>
      <c r="F436" s="34" t="s">
        <v>1458</v>
      </c>
      <c r="G436" s="31" t="s">
        <v>1459</v>
      </c>
      <c r="H436" s="34"/>
      <c r="I436" s="34"/>
    </row>
    <row r="437" spans="1:9" x14ac:dyDescent="0.3">
      <c r="A437" s="30" t="s">
        <v>448</v>
      </c>
      <c r="B437" s="32" t="s">
        <v>449</v>
      </c>
      <c r="C437" s="11" t="str">
        <f>IFERROR(VLOOKUP(A437,$F$4:$H$979,1,0),0)</f>
        <v>Wainer Bustamant</v>
      </c>
      <c r="F437" s="36" t="s">
        <v>431</v>
      </c>
      <c r="G437" s="39" t="s">
        <v>432</v>
      </c>
      <c r="H437" s="41"/>
      <c r="I437" s="34" t="s">
        <v>1262</v>
      </c>
    </row>
    <row r="438" spans="1:9" x14ac:dyDescent="0.3">
      <c r="A438" s="33" t="s">
        <v>608</v>
      </c>
      <c r="B438" s="31" t="s">
        <v>609</v>
      </c>
      <c r="C438" s="11" t="str">
        <f>IFERROR(VLOOKUP(A438,$F$4:$H$979,1,0),0)</f>
        <v>Walter Eras</v>
      </c>
      <c r="F438" s="34" t="s">
        <v>433</v>
      </c>
      <c r="G438" s="38" t="s">
        <v>434</v>
      </c>
      <c r="H438" s="40"/>
      <c r="I438" s="34" t="s">
        <v>1262</v>
      </c>
    </row>
    <row r="439" spans="1:9" x14ac:dyDescent="0.3">
      <c r="A439" s="30" t="s">
        <v>1103</v>
      </c>
      <c r="B439" s="32" t="s">
        <v>1104</v>
      </c>
      <c r="C439" s="11" t="str">
        <f>IFERROR(VLOOKUP(A439,$F$4:$H$979,1,0),0)</f>
        <v>Ximena De Rogel</v>
      </c>
      <c r="F439" s="34" t="s">
        <v>1093</v>
      </c>
      <c r="G439" s="31" t="s">
        <v>1094</v>
      </c>
      <c r="H439" s="34"/>
      <c r="I439" s="34" t="s">
        <v>1262</v>
      </c>
    </row>
    <row r="440" spans="1:9" x14ac:dyDescent="0.3">
      <c r="A440" s="33" t="s">
        <v>450</v>
      </c>
      <c r="B440" s="31" t="s">
        <v>451</v>
      </c>
      <c r="C440" s="11" t="str">
        <f>IFERROR(VLOOKUP(A440,$F$4:$H$979,1,0),0)</f>
        <v>Ximena Landi</v>
      </c>
      <c r="F440" s="36" t="s">
        <v>435</v>
      </c>
      <c r="G440" s="39" t="s">
        <v>436</v>
      </c>
      <c r="H440" s="41"/>
      <c r="I440" s="34" t="s">
        <v>1262</v>
      </c>
    </row>
    <row r="441" spans="1:9" x14ac:dyDescent="0.3">
      <c r="A441" s="30" t="s">
        <v>1107</v>
      </c>
      <c r="B441" s="32" t="s">
        <v>1108</v>
      </c>
      <c r="C441" s="11" t="str">
        <f>IFERROR(VLOOKUP(A441,$F$4:$H$979,1,0),0)</f>
        <v>Yajaira Real</v>
      </c>
      <c r="F441" s="34" t="s">
        <v>1095</v>
      </c>
      <c r="G441" s="31" t="s">
        <v>1096</v>
      </c>
      <c r="H441" s="34"/>
      <c r="I441" s="34" t="s">
        <v>1262</v>
      </c>
    </row>
    <row r="442" spans="1:9" x14ac:dyDescent="0.3">
      <c r="A442" s="33" t="s">
        <v>1109</v>
      </c>
      <c r="B442" s="31" t="s">
        <v>1110</v>
      </c>
      <c r="C442" s="11" t="str">
        <f>IFERROR(VLOOKUP(A442,$F$4:$H$979,1,0),0)</f>
        <v>Yojana Becerra</v>
      </c>
      <c r="F442" s="34" t="s">
        <v>437</v>
      </c>
      <c r="G442" s="38" t="s">
        <v>438</v>
      </c>
      <c r="H442" s="40"/>
      <c r="I442" s="34" t="s">
        <v>1262</v>
      </c>
    </row>
    <row r="443" spans="1:9" x14ac:dyDescent="0.3">
      <c r="A443" s="30" t="s">
        <v>1111</v>
      </c>
      <c r="B443" s="32" t="s">
        <v>1112</v>
      </c>
      <c r="C443" s="11" t="str">
        <f>IFERROR(VLOOKUP(A443,$F$4:$H$979,1,0),0)</f>
        <v>Yolanda Cabrera</v>
      </c>
      <c r="F443" s="36" t="s">
        <v>439</v>
      </c>
      <c r="G443" s="39" t="s">
        <v>440</v>
      </c>
      <c r="H443" s="41"/>
      <c r="I443" s="34" t="s">
        <v>1262</v>
      </c>
    </row>
    <row r="444" spans="1:9" x14ac:dyDescent="0.3">
      <c r="A444" s="30" t="s">
        <v>1212</v>
      </c>
      <c r="C444" s="11">
        <f>IFERROR(VLOOKUP(A444,$F$4:$H$979,1,0),0)</f>
        <v>0</v>
      </c>
      <c r="F444" s="34" t="s">
        <v>1462</v>
      </c>
      <c r="G444" s="31" t="s">
        <v>1463</v>
      </c>
      <c r="H444" s="34"/>
      <c r="I444" s="34"/>
    </row>
    <row r="445" spans="1:9" x14ac:dyDescent="0.3">
      <c r="C445" s="11">
        <f>IFERROR(VLOOKUP(A445,$F$4:$H$979,1,0),0)</f>
        <v>0</v>
      </c>
      <c r="F445" s="35" t="s">
        <v>1099</v>
      </c>
      <c r="G445" s="32" t="s">
        <v>1100</v>
      </c>
      <c r="H445" s="34"/>
      <c r="I445" s="34" t="s">
        <v>1262</v>
      </c>
    </row>
    <row r="446" spans="1:9" x14ac:dyDescent="0.3">
      <c r="C446" s="11">
        <f>IFERROR(VLOOKUP(A446,$F$4:$H$979,1,0),0)</f>
        <v>0</v>
      </c>
      <c r="F446" s="34" t="s">
        <v>441</v>
      </c>
      <c r="G446" s="38" t="s">
        <v>459</v>
      </c>
      <c r="H446" s="40"/>
      <c r="I446" s="34" t="s">
        <v>1262</v>
      </c>
    </row>
    <row r="447" spans="1:9" x14ac:dyDescent="0.3">
      <c r="C447" s="11">
        <f>IFERROR(VLOOKUP(A447,$F$4:$H$979,1,0),0)</f>
        <v>0</v>
      </c>
      <c r="F447" s="36" t="s">
        <v>441</v>
      </c>
      <c r="G447" s="39" t="s">
        <v>460</v>
      </c>
      <c r="H447" s="41"/>
      <c r="I447" s="34" t="s">
        <v>1262</v>
      </c>
    </row>
    <row r="448" spans="1:9" x14ac:dyDescent="0.3">
      <c r="C448" s="11">
        <f>IFERROR(VLOOKUP(A448,$F$4:$H$979,1,0),0)</f>
        <v>0</v>
      </c>
      <c r="F448" s="34" t="s">
        <v>602</v>
      </c>
      <c r="G448" s="37" t="s">
        <v>603</v>
      </c>
      <c r="H448" s="34"/>
      <c r="I448" s="34" t="s">
        <v>1262</v>
      </c>
    </row>
    <row r="449" spans="3:9" x14ac:dyDescent="0.3">
      <c r="C449" s="11">
        <f>IFERROR(VLOOKUP(A449,$F$4:$H$979,1,0),0)</f>
        <v>0</v>
      </c>
      <c r="F449" s="34" t="s">
        <v>604</v>
      </c>
      <c r="G449" s="37" t="s">
        <v>605</v>
      </c>
      <c r="H449" s="34"/>
      <c r="I449" s="34" t="s">
        <v>1262</v>
      </c>
    </row>
    <row r="450" spans="3:9" x14ac:dyDescent="0.3">
      <c r="C450" s="11">
        <f>IFERROR(VLOOKUP(A450,$F$4:$H$979,1,0),0)</f>
        <v>0</v>
      </c>
      <c r="F450" s="35" t="s">
        <v>1465</v>
      </c>
      <c r="G450" s="32" t="s">
        <v>1466</v>
      </c>
      <c r="H450" s="34"/>
      <c r="I450" s="34"/>
    </row>
    <row r="451" spans="3:9" x14ac:dyDescent="0.3">
      <c r="C451" s="11">
        <f>IFERROR(VLOOKUP(A451,$F$4:$H$979,1,0),0)</f>
        <v>0</v>
      </c>
      <c r="F451" s="36" t="s">
        <v>442</v>
      </c>
      <c r="G451" s="39" t="s">
        <v>443</v>
      </c>
      <c r="H451" s="41"/>
      <c r="I451" s="34" t="s">
        <v>1262</v>
      </c>
    </row>
    <row r="452" spans="3:9" x14ac:dyDescent="0.3">
      <c r="C452" s="11">
        <f>IFERROR(VLOOKUP(A452,$F$4:$H$979,1,0),0)</f>
        <v>0</v>
      </c>
      <c r="F452" s="34" t="s">
        <v>606</v>
      </c>
      <c r="G452" s="37" t="s">
        <v>607</v>
      </c>
      <c r="H452" s="34"/>
      <c r="I452" s="34" t="s">
        <v>1262</v>
      </c>
    </row>
    <row r="453" spans="3:9" x14ac:dyDescent="0.3">
      <c r="C453" s="11">
        <f>IFERROR(VLOOKUP(A453,$F$4:$H$979,1,0),0)</f>
        <v>0</v>
      </c>
      <c r="F453" s="34" t="s">
        <v>512</v>
      </c>
      <c r="G453" s="38" t="s">
        <v>513</v>
      </c>
      <c r="H453" s="40" t="s">
        <v>517</v>
      </c>
      <c r="I453" s="34" t="s">
        <v>1262</v>
      </c>
    </row>
    <row r="454" spans="3:9" x14ac:dyDescent="0.3">
      <c r="C454" s="11">
        <f>IFERROR(VLOOKUP(A454,$F$4:$H$979,1,0),0)</f>
        <v>0</v>
      </c>
      <c r="F454" s="34" t="s">
        <v>1101</v>
      </c>
      <c r="G454" s="31" t="s">
        <v>1102</v>
      </c>
      <c r="H454" s="34"/>
      <c r="I454" s="34" t="s">
        <v>1262</v>
      </c>
    </row>
    <row r="455" spans="3:9" x14ac:dyDescent="0.3">
      <c r="C455" s="11">
        <f>IFERROR(VLOOKUP(A455,$F$4:$H$979,1,0),0)</f>
        <v>0</v>
      </c>
      <c r="F455" s="35" t="s">
        <v>1469</v>
      </c>
      <c r="G455" s="32" t="s">
        <v>1470</v>
      </c>
      <c r="H455" s="34"/>
      <c r="I455" s="34"/>
    </row>
    <row r="456" spans="3:9" x14ac:dyDescent="0.3">
      <c r="C456" s="11">
        <f>IFERROR(VLOOKUP(A456,$F$4:$H$979,1,0),0)</f>
        <v>0</v>
      </c>
      <c r="F456" s="34" t="s">
        <v>1471</v>
      </c>
      <c r="G456" s="31" t="s">
        <v>1472</v>
      </c>
      <c r="H456" s="34"/>
      <c r="I456" s="34"/>
    </row>
    <row r="457" spans="3:9" x14ac:dyDescent="0.3">
      <c r="C457" s="11">
        <f>IFERROR(VLOOKUP(A457,$F$4:$H$979,1,0),0)</f>
        <v>0</v>
      </c>
      <c r="F457" s="36" t="s">
        <v>444</v>
      </c>
      <c r="G457" s="39" t="s">
        <v>445</v>
      </c>
      <c r="H457" s="41"/>
      <c r="I457" s="34" t="s">
        <v>1262</v>
      </c>
    </row>
    <row r="458" spans="3:9" x14ac:dyDescent="0.3">
      <c r="C458" s="11">
        <f>IFERROR(VLOOKUP(A458,$F$4:$H$979,1,0),0)</f>
        <v>0</v>
      </c>
      <c r="F458" s="34" t="s">
        <v>446</v>
      </c>
      <c r="G458" s="38" t="s">
        <v>447</v>
      </c>
      <c r="H458" s="40"/>
      <c r="I458" s="34" t="s">
        <v>1267</v>
      </c>
    </row>
    <row r="459" spans="3:9" x14ac:dyDescent="0.3">
      <c r="C459" s="11">
        <f>IFERROR(VLOOKUP(A459,$F$4:$H$979,1,0),0)</f>
        <v>0</v>
      </c>
      <c r="F459" s="35" t="s">
        <v>1473</v>
      </c>
      <c r="G459" s="32" t="s">
        <v>1474</v>
      </c>
      <c r="H459" s="34"/>
      <c r="I459" s="34"/>
    </row>
    <row r="460" spans="3:9" x14ac:dyDescent="0.3">
      <c r="C460" s="11">
        <f>IFERROR(VLOOKUP(A460,$F$4:$H$979,1,0),0)</f>
        <v>0</v>
      </c>
      <c r="F460" s="34" t="s">
        <v>1475</v>
      </c>
      <c r="G460" s="31" t="s">
        <v>1476</v>
      </c>
      <c r="H460" s="34"/>
      <c r="I460" s="34"/>
    </row>
    <row r="461" spans="3:9" x14ac:dyDescent="0.3">
      <c r="C461" s="11">
        <f>IFERROR(VLOOKUP(A461,$F$4:$H$979,1,0),0)</f>
        <v>0</v>
      </c>
      <c r="F461" s="36" t="s">
        <v>448</v>
      </c>
      <c r="G461" s="39" t="s">
        <v>449</v>
      </c>
      <c r="H461" s="41" t="s">
        <v>490</v>
      </c>
      <c r="I461" s="34" t="s">
        <v>1263</v>
      </c>
    </row>
    <row r="462" spans="3:9" x14ac:dyDescent="0.3">
      <c r="C462" s="11">
        <f>IFERROR(VLOOKUP(A462,$F$4:$H$979,1,0),0)</f>
        <v>0</v>
      </c>
      <c r="F462" s="34" t="s">
        <v>608</v>
      </c>
      <c r="G462" s="37" t="s">
        <v>609</v>
      </c>
      <c r="H462" s="34"/>
      <c r="I462" s="34" t="s">
        <v>1267</v>
      </c>
    </row>
    <row r="463" spans="3:9" x14ac:dyDescent="0.3">
      <c r="C463" s="11">
        <f>IFERROR(VLOOKUP(A463,$F$4:$H$979,1,0),0)</f>
        <v>0</v>
      </c>
      <c r="F463" s="35" t="s">
        <v>1103</v>
      </c>
      <c r="G463" s="32" t="s">
        <v>1104</v>
      </c>
      <c r="H463" s="34"/>
      <c r="I463" s="34" t="s">
        <v>1267</v>
      </c>
    </row>
    <row r="464" spans="3:9" x14ac:dyDescent="0.3">
      <c r="C464" s="11">
        <f>IFERROR(VLOOKUP(A464,$F$4:$H$979,1,0),0)</f>
        <v>0</v>
      </c>
      <c r="F464" s="34" t="s">
        <v>450</v>
      </c>
      <c r="G464" s="38" t="s">
        <v>451</v>
      </c>
      <c r="H464" s="40" t="s">
        <v>491</v>
      </c>
      <c r="I464" s="34" t="s">
        <v>1268</v>
      </c>
    </row>
    <row r="465" spans="3:9" x14ac:dyDescent="0.3">
      <c r="C465" s="11">
        <f>IFERROR(VLOOKUP(A465,$F$4:$H$979,1,0),0)</f>
        <v>0</v>
      </c>
      <c r="F465" s="35" t="s">
        <v>1105</v>
      </c>
      <c r="G465" s="32" t="s">
        <v>1106</v>
      </c>
      <c r="H465" s="34"/>
      <c r="I465" s="34" t="s">
        <v>1267</v>
      </c>
    </row>
    <row r="466" spans="3:9" x14ac:dyDescent="0.3">
      <c r="C466" s="11">
        <f>IFERROR(VLOOKUP(A466,$F$4:$H$979,1,0),0)</f>
        <v>0</v>
      </c>
      <c r="F466" s="34" t="s">
        <v>1107</v>
      </c>
      <c r="G466" s="31" t="s">
        <v>1108</v>
      </c>
      <c r="H466" s="34"/>
      <c r="I466" s="34" t="s">
        <v>1253</v>
      </c>
    </row>
    <row r="467" spans="3:9" x14ac:dyDescent="0.3">
      <c r="C467" s="11">
        <f>IFERROR(VLOOKUP(A467,$F$4:$H$979,1,0),0)</f>
        <v>0</v>
      </c>
      <c r="F467" s="35" t="s">
        <v>1109</v>
      </c>
      <c r="G467" s="32" t="s">
        <v>1110</v>
      </c>
      <c r="H467" s="34" t="s">
        <v>1247</v>
      </c>
      <c r="I467" s="34" t="s">
        <v>1256</v>
      </c>
    </row>
    <row r="468" spans="3:9" x14ac:dyDescent="0.3">
      <c r="C468" s="11">
        <f>IFERROR(VLOOKUP(A468,$F$4:$H$979,1,0),0)</f>
        <v>0</v>
      </c>
      <c r="F468" s="34" t="s">
        <v>1111</v>
      </c>
      <c r="G468" s="31" t="s">
        <v>1112</v>
      </c>
      <c r="H468" s="34"/>
      <c r="I468" s="34" t="s">
        <v>1267</v>
      </c>
    </row>
    <row r="469" spans="3:9" x14ac:dyDescent="0.3">
      <c r="C469" s="11">
        <f>IFERROR(VLOOKUP(A469,$F$4:$H$979,1,0),0)</f>
        <v>0</v>
      </c>
      <c r="F469" s="35" t="s">
        <v>988</v>
      </c>
      <c r="G469" s="32" t="s">
        <v>989</v>
      </c>
      <c r="H469" s="34"/>
      <c r="I469" s="34"/>
    </row>
    <row r="470" spans="3:9" x14ac:dyDescent="0.3">
      <c r="C470" s="11">
        <f>IFERROR(VLOOKUP(A470,$F$4:$H$979,1,0),0)</f>
        <v>0</v>
      </c>
    </row>
    <row r="471" spans="3:9" x14ac:dyDescent="0.3">
      <c r="C471" s="11">
        <f>IFERROR(VLOOKUP(A471,$F$4:$H$979,1,0),0)</f>
        <v>0</v>
      </c>
    </row>
    <row r="472" spans="3:9" x14ac:dyDescent="0.3">
      <c r="C472" s="11">
        <f>IFERROR(VLOOKUP(A472,$F$4:$H$979,1,0),0)</f>
        <v>0</v>
      </c>
    </row>
    <row r="473" spans="3:9" x14ac:dyDescent="0.3">
      <c r="C473" s="11">
        <f>IFERROR(VLOOKUP(A473,$F$4:$H$979,1,0),0)</f>
        <v>0</v>
      </c>
    </row>
    <row r="474" spans="3:9" x14ac:dyDescent="0.3">
      <c r="C474" s="11">
        <f>IFERROR(VLOOKUP(A474,$F$4:$H$979,1,0),0)</f>
        <v>0</v>
      </c>
    </row>
    <row r="475" spans="3:9" x14ac:dyDescent="0.3">
      <c r="C475" s="11">
        <f>IFERROR(VLOOKUP(A475,$F$4:$H$979,1,0),0)</f>
        <v>0</v>
      </c>
    </row>
    <row r="476" spans="3:9" x14ac:dyDescent="0.3">
      <c r="C476" s="11">
        <f>IFERROR(VLOOKUP(A476,$F$4:$H$979,1,0),0)</f>
        <v>0</v>
      </c>
    </row>
    <row r="477" spans="3:9" x14ac:dyDescent="0.3">
      <c r="C477" s="11">
        <f>IFERROR(VLOOKUP(A477,$F$4:$H$979,1,0),0)</f>
        <v>0</v>
      </c>
    </row>
    <row r="478" spans="3:9" x14ac:dyDescent="0.3">
      <c r="C478" s="11">
        <f>IFERROR(VLOOKUP(A478,$F$4:$H$979,1,0),0)</f>
        <v>0</v>
      </c>
    </row>
    <row r="479" spans="3:9" x14ac:dyDescent="0.3">
      <c r="C479" s="11">
        <f>IFERROR(VLOOKUP(A479,$F$4:$H$979,1,0),0)</f>
        <v>0</v>
      </c>
    </row>
    <row r="480" spans="3:9" x14ac:dyDescent="0.3">
      <c r="C480" s="11">
        <f>IFERROR(VLOOKUP(A480,$F$4:$H$979,1,0),0)</f>
        <v>0</v>
      </c>
    </row>
    <row r="481" spans="3:3" x14ac:dyDescent="0.3">
      <c r="C481" s="11">
        <f>IFERROR(VLOOKUP(A481,$F$4:$H$979,1,0),0)</f>
        <v>0</v>
      </c>
    </row>
    <row r="482" spans="3:3" x14ac:dyDescent="0.3">
      <c r="C482" s="11">
        <f>IFERROR(VLOOKUP(A482,$F$4:$H$979,1,0),0)</f>
        <v>0</v>
      </c>
    </row>
    <row r="483" spans="3:3" x14ac:dyDescent="0.3">
      <c r="C483" s="11">
        <f>IFERROR(VLOOKUP(A483,$F$4:$H$979,1,0),0)</f>
        <v>0</v>
      </c>
    </row>
    <row r="484" spans="3:3" x14ac:dyDescent="0.3">
      <c r="C484" s="11">
        <f>IFERROR(VLOOKUP(A484,$F$4:$H$979,1,0),0)</f>
        <v>0</v>
      </c>
    </row>
    <row r="485" spans="3:3" x14ac:dyDescent="0.3">
      <c r="C485" s="11">
        <f>IFERROR(VLOOKUP(A485,$F$4:$H$979,1,0),0)</f>
        <v>0</v>
      </c>
    </row>
    <row r="486" spans="3:3" x14ac:dyDescent="0.3">
      <c r="C486" s="11">
        <f>IFERROR(VLOOKUP(A486,$F$4:$H$979,1,0),0)</f>
        <v>0</v>
      </c>
    </row>
    <row r="487" spans="3:3" x14ac:dyDescent="0.3">
      <c r="C487" s="11">
        <f>IFERROR(VLOOKUP(A487,$F$4:$H$979,1,0),0)</f>
        <v>0</v>
      </c>
    </row>
    <row r="488" spans="3:3" x14ac:dyDescent="0.3">
      <c r="C488" s="11">
        <f>IFERROR(VLOOKUP(A488,$F$4:$H$979,1,0),0)</f>
        <v>0</v>
      </c>
    </row>
    <row r="489" spans="3:3" x14ac:dyDescent="0.3">
      <c r="C489" s="11">
        <f>IFERROR(VLOOKUP(A489,$F$4:$H$979,1,0),0)</f>
        <v>0</v>
      </c>
    </row>
    <row r="490" spans="3:3" x14ac:dyDescent="0.3">
      <c r="C490" s="11">
        <f>IFERROR(VLOOKUP(A490,$F$4:$H$979,1,0),0)</f>
        <v>0</v>
      </c>
    </row>
    <row r="491" spans="3:3" x14ac:dyDescent="0.3">
      <c r="C491" s="11">
        <f>IFERROR(VLOOKUP(A491,$F$4:$H$979,1,0),0)</f>
        <v>0</v>
      </c>
    </row>
    <row r="492" spans="3:3" x14ac:dyDescent="0.3">
      <c r="C492" s="11">
        <f>IFERROR(VLOOKUP(A492,$F$4:$H$979,1,0),0)</f>
        <v>0</v>
      </c>
    </row>
    <row r="493" spans="3:3" x14ac:dyDescent="0.3">
      <c r="C493" s="11">
        <f>IFERROR(VLOOKUP(A493,$F$4:$H$979,1,0),0)</f>
        <v>0</v>
      </c>
    </row>
    <row r="494" spans="3:3" x14ac:dyDescent="0.3">
      <c r="C494" s="11">
        <f>IFERROR(VLOOKUP(A494,$F$4:$H$979,1,0),0)</f>
        <v>0</v>
      </c>
    </row>
    <row r="495" spans="3:3" x14ac:dyDescent="0.3">
      <c r="C495" s="11">
        <f>IFERROR(VLOOKUP(A495,$F$4:$H$979,1,0),0)</f>
        <v>0</v>
      </c>
    </row>
    <row r="496" spans="3:3" x14ac:dyDescent="0.3">
      <c r="C496" s="11">
        <f>IFERROR(VLOOKUP(A496,$F$4:$H$979,1,0),0)</f>
        <v>0</v>
      </c>
    </row>
    <row r="497" spans="3:3" x14ac:dyDescent="0.3">
      <c r="C497" s="11">
        <f>IFERROR(VLOOKUP(A497,$F$4:$H$979,1,0),0)</f>
        <v>0</v>
      </c>
    </row>
    <row r="498" spans="3:3" x14ac:dyDescent="0.3">
      <c r="C498" s="11">
        <f>IFERROR(VLOOKUP(A498,$F$4:$H$979,1,0),0)</f>
        <v>0</v>
      </c>
    </row>
    <row r="499" spans="3:3" x14ac:dyDescent="0.3">
      <c r="C499" s="11">
        <f>IFERROR(VLOOKUP(A499,$F$4:$H$979,1,0),0)</f>
        <v>0</v>
      </c>
    </row>
    <row r="500" spans="3:3" x14ac:dyDescent="0.3">
      <c r="C500" s="11">
        <f>IFERROR(VLOOKUP(A500,$F$4:$H$979,1,0),0)</f>
        <v>0</v>
      </c>
    </row>
    <row r="501" spans="3:3" x14ac:dyDescent="0.3">
      <c r="C501" s="11">
        <f>IFERROR(VLOOKUP(A501,$F$4:$H$979,1,0),0)</f>
        <v>0</v>
      </c>
    </row>
    <row r="502" spans="3:3" x14ac:dyDescent="0.3">
      <c r="C502" s="11">
        <f>IFERROR(VLOOKUP(A502,$F$4:$H$979,1,0),0)</f>
        <v>0</v>
      </c>
    </row>
    <row r="503" spans="3:3" x14ac:dyDescent="0.3">
      <c r="C503" s="11">
        <f>IFERROR(VLOOKUP(A503,$F$4:$H$979,1,0),0)</f>
        <v>0</v>
      </c>
    </row>
    <row r="504" spans="3:3" x14ac:dyDescent="0.3">
      <c r="C504" s="11">
        <f>IFERROR(VLOOKUP(A504,$F$4:$H$979,1,0),0)</f>
        <v>0</v>
      </c>
    </row>
    <row r="505" spans="3:3" x14ac:dyDescent="0.3">
      <c r="C505" s="11">
        <f>IFERROR(VLOOKUP(A505,$F$4:$H$979,1,0),0)</f>
        <v>0</v>
      </c>
    </row>
    <row r="506" spans="3:3" x14ac:dyDescent="0.3">
      <c r="C506" s="11">
        <f>IFERROR(VLOOKUP(A506,$F$4:$H$979,1,0),0)</f>
        <v>0</v>
      </c>
    </row>
    <row r="507" spans="3:3" x14ac:dyDescent="0.3">
      <c r="C507" s="11">
        <f>IFERROR(VLOOKUP(A507,$F$4:$H$979,1,0),0)</f>
        <v>0</v>
      </c>
    </row>
    <row r="508" spans="3:3" x14ac:dyDescent="0.3">
      <c r="C508" s="11">
        <f>IFERROR(VLOOKUP(A508,$F$4:$H$979,1,0),0)</f>
        <v>0</v>
      </c>
    </row>
    <row r="509" spans="3:3" x14ac:dyDescent="0.3">
      <c r="C509" s="11">
        <f>IFERROR(VLOOKUP(A509,$F$4:$H$979,1,0),0)</f>
        <v>0</v>
      </c>
    </row>
    <row r="510" spans="3:3" x14ac:dyDescent="0.3">
      <c r="C510" s="11">
        <f>IFERROR(VLOOKUP(A510,$F$4:$H$979,1,0),0)</f>
        <v>0</v>
      </c>
    </row>
    <row r="511" spans="3:3" x14ac:dyDescent="0.3">
      <c r="C511" s="11">
        <f>IFERROR(VLOOKUP(A511,$F$4:$H$979,1,0),0)</f>
        <v>0</v>
      </c>
    </row>
    <row r="512" spans="3:3" x14ac:dyDescent="0.3">
      <c r="C512" s="11">
        <f>IFERROR(VLOOKUP(A512,$F$4:$H$979,1,0),0)</f>
        <v>0</v>
      </c>
    </row>
    <row r="513" spans="3:3" x14ac:dyDescent="0.3">
      <c r="C513" s="11">
        <f>IFERROR(VLOOKUP(A513,$F$4:$H$979,1,0),0)</f>
        <v>0</v>
      </c>
    </row>
    <row r="514" spans="3:3" x14ac:dyDescent="0.3">
      <c r="C514" s="11">
        <f>IFERROR(VLOOKUP(A514,$F$4:$H$979,1,0),0)</f>
        <v>0</v>
      </c>
    </row>
    <row r="515" spans="3:3" x14ac:dyDescent="0.3">
      <c r="C515" s="11">
        <f>IFERROR(VLOOKUP(A515,$F$4:$H$979,1,0),0)</f>
        <v>0</v>
      </c>
    </row>
    <row r="516" spans="3:3" x14ac:dyDescent="0.3">
      <c r="C516" s="11">
        <f>IFERROR(VLOOKUP(A516,$F$4:$H$979,1,0),0)</f>
        <v>0</v>
      </c>
    </row>
    <row r="517" spans="3:3" x14ac:dyDescent="0.3">
      <c r="C517" s="11">
        <f>IFERROR(VLOOKUP(A517,$F$4:$H$979,1,0),0)</f>
        <v>0</v>
      </c>
    </row>
    <row r="518" spans="3:3" x14ac:dyDescent="0.3">
      <c r="C518" s="11">
        <f>IFERROR(VLOOKUP(A518,$F$4:$H$979,1,0),0)</f>
        <v>0</v>
      </c>
    </row>
    <row r="519" spans="3:3" x14ac:dyDescent="0.3">
      <c r="C519" s="11">
        <f>IFERROR(VLOOKUP(A519,$F$4:$H$979,1,0),0)</f>
        <v>0</v>
      </c>
    </row>
    <row r="520" spans="3:3" x14ac:dyDescent="0.3">
      <c r="C520" s="11">
        <f>IFERROR(VLOOKUP(A520,$F$4:$H$979,1,0),0)</f>
        <v>0</v>
      </c>
    </row>
    <row r="521" spans="3:3" x14ac:dyDescent="0.3">
      <c r="C521" s="11">
        <f>IFERROR(VLOOKUP(A521,$F$4:$H$979,1,0),0)</f>
        <v>0</v>
      </c>
    </row>
    <row r="522" spans="3:3" x14ac:dyDescent="0.3">
      <c r="C522" s="11">
        <f>IFERROR(VLOOKUP(A522,$F$4:$H$979,1,0),0)</f>
        <v>0</v>
      </c>
    </row>
    <row r="523" spans="3:3" x14ac:dyDescent="0.3">
      <c r="C523" s="11">
        <f>IFERROR(VLOOKUP(A523,$F$4:$H$979,1,0),0)</f>
        <v>0</v>
      </c>
    </row>
    <row r="524" spans="3:3" x14ac:dyDescent="0.3">
      <c r="C524" s="11">
        <f>IFERROR(VLOOKUP(A524,$F$4:$H$979,1,0),0)</f>
        <v>0</v>
      </c>
    </row>
    <row r="525" spans="3:3" x14ac:dyDescent="0.3">
      <c r="C525" s="11">
        <f>IFERROR(VLOOKUP(A525,$F$4:$H$979,1,0),0)</f>
        <v>0</v>
      </c>
    </row>
    <row r="526" spans="3:3" x14ac:dyDescent="0.3">
      <c r="C526" s="11">
        <f>IFERROR(VLOOKUP(A526,$F$4:$H$979,1,0),0)</f>
        <v>0</v>
      </c>
    </row>
    <row r="527" spans="3:3" x14ac:dyDescent="0.3">
      <c r="C527" s="11">
        <f>IFERROR(VLOOKUP(A527,$F$4:$H$979,1,0),0)</f>
        <v>0</v>
      </c>
    </row>
    <row r="528" spans="3:3" x14ac:dyDescent="0.3">
      <c r="C528" s="11">
        <f>IFERROR(VLOOKUP(A528,$F$4:$H$979,1,0),0)</f>
        <v>0</v>
      </c>
    </row>
    <row r="529" spans="3:3" x14ac:dyDescent="0.3">
      <c r="C529" s="11">
        <f>IFERROR(VLOOKUP(A529,$F$4:$H$979,1,0),0)</f>
        <v>0</v>
      </c>
    </row>
    <row r="530" spans="3:3" x14ac:dyDescent="0.3">
      <c r="C530" s="11">
        <f>IFERROR(VLOOKUP(A530,$F$4:$H$979,1,0),0)</f>
        <v>0</v>
      </c>
    </row>
    <row r="531" spans="3:3" x14ac:dyDescent="0.3">
      <c r="C531" s="11">
        <f>IFERROR(VLOOKUP(A531,$F$4:$H$979,1,0),0)</f>
        <v>0</v>
      </c>
    </row>
    <row r="532" spans="3:3" x14ac:dyDescent="0.3">
      <c r="C532" s="11">
        <f>IFERROR(VLOOKUP(A532,$F$4:$H$979,1,0),0)</f>
        <v>0</v>
      </c>
    </row>
    <row r="533" spans="3:3" x14ac:dyDescent="0.3">
      <c r="C533" s="11">
        <f>IFERROR(VLOOKUP(A533,$F$4:$H$979,1,0),0)</f>
        <v>0</v>
      </c>
    </row>
    <row r="534" spans="3:3" x14ac:dyDescent="0.3">
      <c r="C534" s="11">
        <f>IFERROR(VLOOKUP(A534,$F$4:$H$979,1,0),0)</f>
        <v>0</v>
      </c>
    </row>
    <row r="535" spans="3:3" x14ac:dyDescent="0.3">
      <c r="C535" s="11">
        <f>IFERROR(VLOOKUP(A535,$F$4:$H$979,1,0),0)</f>
        <v>0</v>
      </c>
    </row>
    <row r="536" spans="3:3" x14ac:dyDescent="0.3">
      <c r="C536" s="11">
        <f>IFERROR(VLOOKUP(A536,$F$4:$H$979,1,0),0)</f>
        <v>0</v>
      </c>
    </row>
    <row r="537" spans="3:3" x14ac:dyDescent="0.3">
      <c r="C537" s="11">
        <f>IFERROR(VLOOKUP(A537,$F$4:$H$979,1,0),0)</f>
        <v>0</v>
      </c>
    </row>
    <row r="538" spans="3:3" x14ac:dyDescent="0.3">
      <c r="C538" s="11">
        <f>IFERROR(VLOOKUP(A538,$F$4:$H$979,1,0),0)</f>
        <v>0</v>
      </c>
    </row>
    <row r="539" spans="3:3" x14ac:dyDescent="0.3">
      <c r="C539" s="11">
        <f>IFERROR(VLOOKUP(A539,$F$4:$H$979,1,0),0)</f>
        <v>0</v>
      </c>
    </row>
    <row r="540" spans="3:3" x14ac:dyDescent="0.3">
      <c r="C540" s="11">
        <f>IFERROR(VLOOKUP(A540,$F$4:$H$979,1,0),0)</f>
        <v>0</v>
      </c>
    </row>
    <row r="541" spans="3:3" x14ac:dyDescent="0.3">
      <c r="C541" s="11">
        <f>IFERROR(VLOOKUP(A541,$F$4:$H$979,1,0),0)</f>
        <v>0</v>
      </c>
    </row>
    <row r="542" spans="3:3" x14ac:dyDescent="0.3">
      <c r="C542" s="11">
        <f>IFERROR(VLOOKUP(A542,$F$4:$H$979,1,0),0)</f>
        <v>0</v>
      </c>
    </row>
    <row r="543" spans="3:3" x14ac:dyDescent="0.3">
      <c r="C543" s="11">
        <f>IFERROR(VLOOKUP(A543,$F$4:$H$979,1,0),0)</f>
        <v>0</v>
      </c>
    </row>
    <row r="544" spans="3:3" x14ac:dyDescent="0.3">
      <c r="C544" s="11">
        <f>IFERROR(VLOOKUP(A544,$F$4:$H$979,1,0),0)</f>
        <v>0</v>
      </c>
    </row>
    <row r="545" spans="3:3" x14ac:dyDescent="0.3">
      <c r="C545" s="11">
        <f>IFERROR(VLOOKUP(A545,$F$4:$H$979,1,0),0)</f>
        <v>0</v>
      </c>
    </row>
    <row r="546" spans="3:3" x14ac:dyDescent="0.3">
      <c r="C546" s="11">
        <f>IFERROR(VLOOKUP(A546,$F$4:$H$979,1,0),0)</f>
        <v>0</v>
      </c>
    </row>
    <row r="547" spans="3:3" x14ac:dyDescent="0.3">
      <c r="C547" s="11">
        <f>IFERROR(VLOOKUP(A547,$F$4:$H$979,1,0),0)</f>
        <v>0</v>
      </c>
    </row>
    <row r="548" spans="3:3" x14ac:dyDescent="0.3">
      <c r="C548" s="11">
        <f>IFERROR(VLOOKUP(A548,$F$4:$H$979,1,0),0)</f>
        <v>0</v>
      </c>
    </row>
    <row r="549" spans="3:3" x14ac:dyDescent="0.3">
      <c r="C549" s="11">
        <f>IFERROR(VLOOKUP(A549,$F$4:$H$979,1,0),0)</f>
        <v>0</v>
      </c>
    </row>
    <row r="550" spans="3:3" x14ac:dyDescent="0.3">
      <c r="C550" s="11">
        <f>IFERROR(VLOOKUP(A550,$F$4:$H$979,1,0),0)</f>
        <v>0</v>
      </c>
    </row>
    <row r="551" spans="3:3" x14ac:dyDescent="0.3">
      <c r="C551" s="11">
        <f>IFERROR(VLOOKUP(A551,$F$4:$H$979,1,0),0)</f>
        <v>0</v>
      </c>
    </row>
    <row r="552" spans="3:3" x14ac:dyDescent="0.3">
      <c r="C552" s="11">
        <f>IFERROR(VLOOKUP(A552,$F$4:$H$979,1,0),0)</f>
        <v>0</v>
      </c>
    </row>
    <row r="553" spans="3:3" x14ac:dyDescent="0.3">
      <c r="C553" s="11">
        <f>IFERROR(VLOOKUP(A553,$F$4:$H$979,1,0),0)</f>
        <v>0</v>
      </c>
    </row>
    <row r="554" spans="3:3" x14ac:dyDescent="0.3">
      <c r="C554" s="11">
        <f>IFERROR(VLOOKUP(A554,$F$4:$H$979,1,0),0)</f>
        <v>0</v>
      </c>
    </row>
    <row r="555" spans="3:3" x14ac:dyDescent="0.3">
      <c r="C555" s="11">
        <f>IFERROR(VLOOKUP(A555,$F$4:$H$979,1,0),0)</f>
        <v>0</v>
      </c>
    </row>
    <row r="556" spans="3:3" x14ac:dyDescent="0.3">
      <c r="C556" s="11">
        <f>IFERROR(VLOOKUP(A556,$F$4:$H$979,1,0),0)</f>
        <v>0</v>
      </c>
    </row>
    <row r="557" spans="3:3" x14ac:dyDescent="0.3">
      <c r="C557" s="11">
        <f>IFERROR(VLOOKUP(A557,$F$4:$H$979,1,0),0)</f>
        <v>0</v>
      </c>
    </row>
    <row r="558" spans="3:3" x14ac:dyDescent="0.3">
      <c r="C558" s="11">
        <f>IFERROR(VLOOKUP(A558,$F$4:$H$979,1,0),0)</f>
        <v>0</v>
      </c>
    </row>
    <row r="559" spans="3:3" x14ac:dyDescent="0.3">
      <c r="C559" s="11">
        <f>IFERROR(VLOOKUP(A559,$F$4:$H$979,1,0),0)</f>
        <v>0</v>
      </c>
    </row>
    <row r="560" spans="3:3" x14ac:dyDescent="0.3">
      <c r="C560" s="11">
        <f>IFERROR(VLOOKUP(A560,$F$4:$H$979,1,0),0)</f>
        <v>0</v>
      </c>
    </row>
    <row r="561" spans="3:3" x14ac:dyDescent="0.3">
      <c r="C561" s="11">
        <f>IFERROR(VLOOKUP(A561,$F$4:$H$979,1,0),0)</f>
        <v>0</v>
      </c>
    </row>
    <row r="562" spans="3:3" x14ac:dyDescent="0.3">
      <c r="C562" s="11">
        <f>IFERROR(VLOOKUP(A562,$F$4:$H$979,1,0),0)</f>
        <v>0</v>
      </c>
    </row>
    <row r="563" spans="3:3" x14ac:dyDescent="0.3">
      <c r="C563" s="11">
        <f>IFERROR(VLOOKUP(A563,$F$4:$H$979,1,0),0)</f>
        <v>0</v>
      </c>
    </row>
    <row r="564" spans="3:3" x14ac:dyDescent="0.3">
      <c r="C564" s="11">
        <f>IFERROR(VLOOKUP(A564,$F$4:$H$979,1,0),0)</f>
        <v>0</v>
      </c>
    </row>
    <row r="565" spans="3:3" x14ac:dyDescent="0.3">
      <c r="C565" s="11">
        <f>IFERROR(VLOOKUP(A565,$F$4:$H$979,1,0),0)</f>
        <v>0</v>
      </c>
    </row>
    <row r="566" spans="3:3" x14ac:dyDescent="0.3">
      <c r="C566" s="11">
        <f>IFERROR(VLOOKUP(A566,$F$4:$H$979,1,0),0)</f>
        <v>0</v>
      </c>
    </row>
    <row r="567" spans="3:3" x14ac:dyDescent="0.3">
      <c r="C567" s="11">
        <f>IFERROR(VLOOKUP(A567,$F$4:$H$979,1,0),0)</f>
        <v>0</v>
      </c>
    </row>
    <row r="568" spans="3:3" x14ac:dyDescent="0.3">
      <c r="C568" s="11">
        <f>IFERROR(VLOOKUP(A568,$F$4:$H$979,1,0),0)</f>
        <v>0</v>
      </c>
    </row>
    <row r="569" spans="3:3" x14ac:dyDescent="0.3">
      <c r="C569" s="11">
        <f>IFERROR(VLOOKUP(A569,$F$4:$H$979,1,0),0)</f>
        <v>0</v>
      </c>
    </row>
    <row r="570" spans="3:3" x14ac:dyDescent="0.3">
      <c r="C570" s="11">
        <f>IFERROR(VLOOKUP(A570,$F$4:$H$979,1,0),0)</f>
        <v>0</v>
      </c>
    </row>
    <row r="571" spans="3:3" x14ac:dyDescent="0.3">
      <c r="C571" s="11">
        <f>IFERROR(VLOOKUP(A571,$F$4:$H$979,1,0),0)</f>
        <v>0</v>
      </c>
    </row>
    <row r="572" spans="3:3" x14ac:dyDescent="0.3">
      <c r="C572" s="11">
        <f>IFERROR(VLOOKUP(A572,$F$4:$H$979,1,0),0)</f>
        <v>0</v>
      </c>
    </row>
    <row r="573" spans="3:3" x14ac:dyDescent="0.3">
      <c r="C573" s="11">
        <f>IFERROR(VLOOKUP(A573,$F$4:$H$979,1,0),0)</f>
        <v>0</v>
      </c>
    </row>
    <row r="574" spans="3:3" x14ac:dyDescent="0.3">
      <c r="C574" s="11">
        <f>IFERROR(VLOOKUP(A574,$F$4:$H$979,1,0),0)</f>
        <v>0</v>
      </c>
    </row>
    <row r="575" spans="3:3" x14ac:dyDescent="0.3">
      <c r="C575" s="11">
        <f>IFERROR(VLOOKUP(A575,$F$4:$H$979,1,0),0)</f>
        <v>0</v>
      </c>
    </row>
    <row r="576" spans="3:3" x14ac:dyDescent="0.3">
      <c r="C576" s="11">
        <f>IFERROR(VLOOKUP(A576,$F$4:$H$979,1,0),0)</f>
        <v>0</v>
      </c>
    </row>
    <row r="577" spans="3:3" x14ac:dyDescent="0.3">
      <c r="C577" s="11">
        <f>IFERROR(VLOOKUP(A577,$F$4:$H$979,1,0),0)</f>
        <v>0</v>
      </c>
    </row>
    <row r="578" spans="3:3" x14ac:dyDescent="0.3">
      <c r="C578" s="11">
        <f>IFERROR(VLOOKUP(A578,$F$4:$H$979,1,0),0)</f>
        <v>0</v>
      </c>
    </row>
    <row r="579" spans="3:3" x14ac:dyDescent="0.3">
      <c r="C579" s="11">
        <f>IFERROR(VLOOKUP(A579,$F$4:$H$979,1,0),0)</f>
        <v>0</v>
      </c>
    </row>
    <row r="580" spans="3:3" x14ac:dyDescent="0.3">
      <c r="C580" s="11">
        <f>IFERROR(VLOOKUP(A580,$F$4:$H$979,1,0),0)</f>
        <v>0</v>
      </c>
    </row>
    <row r="581" spans="3:3" x14ac:dyDescent="0.3">
      <c r="C581" s="11">
        <f>IFERROR(VLOOKUP(A581,$F$4:$H$979,1,0),0)</f>
        <v>0</v>
      </c>
    </row>
    <row r="582" spans="3:3" x14ac:dyDescent="0.3">
      <c r="C582" s="11">
        <f>IFERROR(VLOOKUP(A582,$F$4:$H$979,1,0),0)</f>
        <v>0</v>
      </c>
    </row>
    <row r="583" spans="3:3" x14ac:dyDescent="0.3">
      <c r="C583" s="11">
        <f>IFERROR(VLOOKUP(A583,$F$4:$H$979,1,0),0)</f>
        <v>0</v>
      </c>
    </row>
    <row r="584" spans="3:3" x14ac:dyDescent="0.3">
      <c r="C584" s="11">
        <f>IFERROR(VLOOKUP(A584,$F$4:$H$979,1,0),0)</f>
        <v>0</v>
      </c>
    </row>
    <row r="585" spans="3:3" x14ac:dyDescent="0.3">
      <c r="C585" s="11">
        <f>IFERROR(VLOOKUP(A585,$F$4:$H$979,1,0),0)</f>
        <v>0</v>
      </c>
    </row>
    <row r="586" spans="3:3" x14ac:dyDescent="0.3">
      <c r="C586" s="11">
        <f>IFERROR(VLOOKUP(A586,$F$4:$H$979,1,0),0)</f>
        <v>0</v>
      </c>
    </row>
    <row r="587" spans="3:3" x14ac:dyDescent="0.3">
      <c r="C587" s="11">
        <f>IFERROR(VLOOKUP(A587,$F$4:$H$979,1,0),0)</f>
        <v>0</v>
      </c>
    </row>
    <row r="588" spans="3:3" x14ac:dyDescent="0.3">
      <c r="C588" s="11">
        <f>IFERROR(VLOOKUP(A588,$F$4:$H$979,1,0),0)</f>
        <v>0</v>
      </c>
    </row>
    <row r="589" spans="3:3" x14ac:dyDescent="0.3">
      <c r="C589" s="11">
        <f>IFERROR(VLOOKUP(A589,$F$4:$H$979,1,0),0)</f>
        <v>0</v>
      </c>
    </row>
    <row r="590" spans="3:3" x14ac:dyDescent="0.3">
      <c r="C590" s="11">
        <f>IFERROR(VLOOKUP(A590,$F$4:$H$979,1,0),0)</f>
        <v>0</v>
      </c>
    </row>
    <row r="591" spans="3:3" x14ac:dyDescent="0.3">
      <c r="C591" s="11">
        <f>IFERROR(VLOOKUP(A591,$F$4:$H$979,1,0),0)</f>
        <v>0</v>
      </c>
    </row>
    <row r="592" spans="3:3" x14ac:dyDescent="0.3">
      <c r="C592" s="11">
        <f>IFERROR(VLOOKUP(A592,$F$4:$H$979,1,0),0)</f>
        <v>0</v>
      </c>
    </row>
    <row r="593" spans="3:3" x14ac:dyDescent="0.3">
      <c r="C593" s="11">
        <f>IFERROR(VLOOKUP(A593,$F$4:$H$979,1,0),0)</f>
        <v>0</v>
      </c>
    </row>
    <row r="594" spans="3:3" x14ac:dyDescent="0.3">
      <c r="C594" s="11">
        <f>IFERROR(VLOOKUP(A594,$F$4:$H$979,1,0),0)</f>
        <v>0</v>
      </c>
    </row>
    <row r="595" spans="3:3" x14ac:dyDescent="0.3">
      <c r="C595" s="11">
        <f>IFERROR(VLOOKUP(A595,$F$4:$H$979,1,0),0)</f>
        <v>0</v>
      </c>
    </row>
    <row r="596" spans="3:3" x14ac:dyDescent="0.3">
      <c r="C596" s="11">
        <f>IFERROR(VLOOKUP(A596,$F$4:$H$979,1,0),0)</f>
        <v>0</v>
      </c>
    </row>
    <row r="597" spans="3:3" x14ac:dyDescent="0.3">
      <c r="C597" s="11">
        <f>IFERROR(VLOOKUP(A597,$F$4:$H$979,1,0),0)</f>
        <v>0</v>
      </c>
    </row>
    <row r="598" spans="3:3" x14ac:dyDescent="0.3">
      <c r="C598" s="11">
        <f>IFERROR(VLOOKUP(A598,$F$4:$H$979,1,0),0)</f>
        <v>0</v>
      </c>
    </row>
    <row r="599" spans="3:3" x14ac:dyDescent="0.3">
      <c r="C599" s="11">
        <f>IFERROR(VLOOKUP(A599,$F$4:$H$979,1,0),0)</f>
        <v>0</v>
      </c>
    </row>
    <row r="600" spans="3:3" x14ac:dyDescent="0.3">
      <c r="C600" s="11">
        <f>IFERROR(VLOOKUP(A600,$F$4:$H$979,1,0),0)</f>
        <v>0</v>
      </c>
    </row>
    <row r="601" spans="3:3" x14ac:dyDescent="0.3">
      <c r="C601" s="11">
        <f>IFERROR(VLOOKUP(A601,$F$4:$H$979,1,0),0)</f>
        <v>0</v>
      </c>
    </row>
    <row r="602" spans="3:3" x14ac:dyDescent="0.3">
      <c r="C602" s="11">
        <f>IFERROR(VLOOKUP(A602,$F$4:$H$979,1,0),0)</f>
        <v>0</v>
      </c>
    </row>
    <row r="603" spans="3:3" x14ac:dyDescent="0.3">
      <c r="C603" s="11">
        <f>IFERROR(VLOOKUP(A603,$F$4:$H$979,1,0),0)</f>
        <v>0</v>
      </c>
    </row>
    <row r="604" spans="3:3" x14ac:dyDescent="0.3">
      <c r="C604" s="11">
        <f>IFERROR(VLOOKUP(A604,$F$4:$H$979,1,0),0)</f>
        <v>0</v>
      </c>
    </row>
    <row r="605" spans="3:3" x14ac:dyDescent="0.3">
      <c r="C605" s="11">
        <f>IFERROR(VLOOKUP(A605,$F$4:$H$979,1,0),0)</f>
        <v>0</v>
      </c>
    </row>
    <row r="606" spans="3:3" x14ac:dyDescent="0.3">
      <c r="C606" s="11">
        <f>IFERROR(VLOOKUP(A606,$F$4:$H$979,1,0),0)</f>
        <v>0</v>
      </c>
    </row>
    <row r="607" spans="3:3" x14ac:dyDescent="0.3">
      <c r="C607" s="11">
        <f>IFERROR(VLOOKUP(A607,$F$4:$H$979,1,0),0)</f>
        <v>0</v>
      </c>
    </row>
    <row r="608" spans="3:3" x14ac:dyDescent="0.3">
      <c r="C608" s="11">
        <f>IFERROR(VLOOKUP(A608,$F$4:$H$979,1,0),0)</f>
        <v>0</v>
      </c>
    </row>
    <row r="609" spans="3:3" x14ac:dyDescent="0.3">
      <c r="C609" s="11">
        <f>IFERROR(VLOOKUP(A609,$F$4:$H$979,1,0),0)</f>
        <v>0</v>
      </c>
    </row>
    <row r="610" spans="3:3" x14ac:dyDescent="0.3">
      <c r="C610" s="11">
        <f>IFERROR(VLOOKUP(A610,$F$4:$H$979,1,0),0)</f>
        <v>0</v>
      </c>
    </row>
    <row r="611" spans="3:3" x14ac:dyDescent="0.3">
      <c r="C611" s="11">
        <f>IFERROR(VLOOKUP(A611,$F$4:$H$979,1,0),0)</f>
        <v>0</v>
      </c>
    </row>
    <row r="612" spans="3:3" x14ac:dyDescent="0.3">
      <c r="C612" s="11">
        <f>IFERROR(VLOOKUP(A612,$F$4:$H$979,1,0),0)</f>
        <v>0</v>
      </c>
    </row>
    <row r="613" spans="3:3" x14ac:dyDescent="0.3">
      <c r="C613" s="11">
        <f>IFERROR(VLOOKUP(A613,$F$4:$H$979,1,0),0)</f>
        <v>0</v>
      </c>
    </row>
    <row r="614" spans="3:3" x14ac:dyDescent="0.3">
      <c r="C614" s="11">
        <f>IFERROR(VLOOKUP(A614,$F$4:$H$979,1,0),0)</f>
        <v>0</v>
      </c>
    </row>
    <row r="615" spans="3:3" x14ac:dyDescent="0.3">
      <c r="C615" s="11">
        <f>IFERROR(VLOOKUP(A615,$F$4:$H$979,1,0),0)</f>
        <v>0</v>
      </c>
    </row>
    <row r="616" spans="3:3" x14ac:dyDescent="0.3">
      <c r="C616" s="11">
        <f>IFERROR(VLOOKUP(A616,$F$4:$H$979,1,0),0)</f>
        <v>0</v>
      </c>
    </row>
    <row r="617" spans="3:3" x14ac:dyDescent="0.3">
      <c r="C617" s="11">
        <f>IFERROR(VLOOKUP(A617,$F$4:$H$979,1,0),0)</f>
        <v>0</v>
      </c>
    </row>
    <row r="618" spans="3:3" x14ac:dyDescent="0.3">
      <c r="C618" s="11">
        <f>IFERROR(VLOOKUP(A618,$F$4:$H$979,1,0),0)</f>
        <v>0</v>
      </c>
    </row>
    <row r="619" spans="3:3" x14ac:dyDescent="0.3">
      <c r="C619" s="11">
        <f>IFERROR(VLOOKUP(A619,$F$4:$H$979,1,0),0)</f>
        <v>0</v>
      </c>
    </row>
    <row r="620" spans="3:3" x14ac:dyDescent="0.3">
      <c r="C620" s="11">
        <f>IFERROR(VLOOKUP(A620,$F$4:$H$979,1,0),0)</f>
        <v>0</v>
      </c>
    </row>
    <row r="621" spans="3:3" x14ac:dyDescent="0.3">
      <c r="C621" s="11">
        <f>IFERROR(VLOOKUP(A621,$F$4:$H$979,1,0),0)</f>
        <v>0</v>
      </c>
    </row>
    <row r="622" spans="3:3" x14ac:dyDescent="0.3">
      <c r="C622" s="11">
        <f>IFERROR(VLOOKUP(A622,$F$4:$H$979,1,0),0)</f>
        <v>0</v>
      </c>
    </row>
    <row r="623" spans="3:3" x14ac:dyDescent="0.3">
      <c r="C623" s="11">
        <f>IFERROR(VLOOKUP(A623,$F$4:$H$979,1,0),0)</f>
        <v>0</v>
      </c>
    </row>
    <row r="624" spans="3:3" x14ac:dyDescent="0.3">
      <c r="C624" s="11">
        <f>IFERROR(VLOOKUP(A624,$F$4:$H$979,1,0),0)</f>
        <v>0</v>
      </c>
    </row>
    <row r="625" spans="3:3" x14ac:dyDescent="0.3">
      <c r="C625" s="11">
        <f>IFERROR(VLOOKUP(A625,$F$4:$H$979,1,0),0)</f>
        <v>0</v>
      </c>
    </row>
    <row r="626" spans="3:3" x14ac:dyDescent="0.3">
      <c r="C626" s="11">
        <f>IFERROR(VLOOKUP(A626,$F$4:$H$979,1,0),0)</f>
        <v>0</v>
      </c>
    </row>
    <row r="627" spans="3:3" x14ac:dyDescent="0.3">
      <c r="C627" s="11">
        <f>IFERROR(VLOOKUP(A627,$F$4:$H$979,1,0),0)</f>
        <v>0</v>
      </c>
    </row>
    <row r="628" spans="3:3" x14ac:dyDescent="0.3">
      <c r="C628" s="11">
        <f>IFERROR(VLOOKUP(A628,$F$4:$H$979,1,0),0)</f>
        <v>0</v>
      </c>
    </row>
    <row r="629" spans="3:3" x14ac:dyDescent="0.3">
      <c r="C629" s="11">
        <f>IFERROR(VLOOKUP(A629,$F$4:$H$979,1,0),0)</f>
        <v>0</v>
      </c>
    </row>
    <row r="630" spans="3:3" x14ac:dyDescent="0.3">
      <c r="C630" s="11">
        <f>IFERROR(VLOOKUP(A630,$F$4:$H$979,1,0),0)</f>
        <v>0</v>
      </c>
    </row>
    <row r="631" spans="3:3" x14ac:dyDescent="0.3">
      <c r="C631" s="11">
        <f>IFERROR(VLOOKUP(A631,$F$4:$H$979,1,0),0)</f>
        <v>0</v>
      </c>
    </row>
    <row r="632" spans="3:3" x14ac:dyDescent="0.3">
      <c r="C632" s="11">
        <f>IFERROR(VLOOKUP(A632,$F$4:$H$979,1,0),0)</f>
        <v>0</v>
      </c>
    </row>
    <row r="633" spans="3:3" x14ac:dyDescent="0.3">
      <c r="C633" s="11">
        <f>IFERROR(VLOOKUP(A633,$F$4:$H$979,1,0),0)</f>
        <v>0</v>
      </c>
    </row>
    <row r="634" spans="3:3" x14ac:dyDescent="0.3">
      <c r="C634" s="11">
        <f>IFERROR(VLOOKUP(A634,$F$4:$H$979,1,0),0)</f>
        <v>0</v>
      </c>
    </row>
    <row r="635" spans="3:3" x14ac:dyDescent="0.3">
      <c r="C635" s="11">
        <f>IFERROR(VLOOKUP(A635,$F$4:$H$979,1,0),0)</f>
        <v>0</v>
      </c>
    </row>
    <row r="636" spans="3:3" x14ac:dyDescent="0.3">
      <c r="C636" s="11">
        <f>IFERROR(VLOOKUP(A636,$F$4:$H$979,1,0),0)</f>
        <v>0</v>
      </c>
    </row>
    <row r="637" spans="3:3" x14ac:dyDescent="0.3">
      <c r="C637" s="11">
        <f>IFERROR(VLOOKUP(A637,$F$4:$H$979,1,0),0)</f>
        <v>0</v>
      </c>
    </row>
    <row r="638" spans="3:3" x14ac:dyDescent="0.3">
      <c r="C638" s="11">
        <f>IFERROR(VLOOKUP(A638,$F$4:$H$979,1,0),0)</f>
        <v>0</v>
      </c>
    </row>
    <row r="639" spans="3:3" x14ac:dyDescent="0.3">
      <c r="C639" s="11">
        <f>IFERROR(VLOOKUP(A639,$F$4:$H$979,1,0),0)</f>
        <v>0</v>
      </c>
    </row>
    <row r="640" spans="3:3" x14ac:dyDescent="0.3">
      <c r="C640" s="11">
        <f>IFERROR(VLOOKUP(A640,$F$4:$H$979,1,0),0)</f>
        <v>0</v>
      </c>
    </row>
    <row r="641" spans="3:3" x14ac:dyDescent="0.3">
      <c r="C641" s="11">
        <f>IFERROR(VLOOKUP(A641,$F$4:$H$979,1,0),0)</f>
        <v>0</v>
      </c>
    </row>
    <row r="642" spans="3:3" x14ac:dyDescent="0.3">
      <c r="C642" s="11">
        <f>IFERROR(VLOOKUP(A642,$F$4:$H$979,1,0),0)</f>
        <v>0</v>
      </c>
    </row>
    <row r="643" spans="3:3" x14ac:dyDescent="0.3">
      <c r="C643" s="11">
        <f>IFERROR(VLOOKUP(A643,$F$4:$H$979,1,0),0)</f>
        <v>0</v>
      </c>
    </row>
    <row r="644" spans="3:3" x14ac:dyDescent="0.3">
      <c r="C644" s="11">
        <f>IFERROR(VLOOKUP(A644,$F$4:$H$979,1,0),0)</f>
        <v>0</v>
      </c>
    </row>
    <row r="645" spans="3:3" x14ac:dyDescent="0.3">
      <c r="C645" s="11">
        <f>IFERROR(VLOOKUP(A645,$F$4:$H$979,1,0),0)</f>
        <v>0</v>
      </c>
    </row>
    <row r="646" spans="3:3" x14ac:dyDescent="0.3">
      <c r="C646" s="11">
        <f>IFERROR(VLOOKUP(A646,$F$4:$H$979,1,0),0)</f>
        <v>0</v>
      </c>
    </row>
    <row r="647" spans="3:3" x14ac:dyDescent="0.3">
      <c r="C647" s="11">
        <f>IFERROR(VLOOKUP(A647,$F$4:$H$979,1,0),0)</f>
        <v>0</v>
      </c>
    </row>
    <row r="648" spans="3:3" x14ac:dyDescent="0.3">
      <c r="C648" s="11">
        <f>IFERROR(VLOOKUP(A648,$F$4:$H$979,1,0),0)</f>
        <v>0</v>
      </c>
    </row>
    <row r="649" spans="3:3" x14ac:dyDescent="0.3">
      <c r="C649" s="11">
        <f>IFERROR(VLOOKUP(A649,$F$4:$H$979,1,0),0)</f>
        <v>0</v>
      </c>
    </row>
    <row r="650" spans="3:3" x14ac:dyDescent="0.3">
      <c r="C650" s="11">
        <f>IFERROR(VLOOKUP(A650,$F$4:$H$979,1,0),0)</f>
        <v>0</v>
      </c>
    </row>
    <row r="651" spans="3:3" x14ac:dyDescent="0.3">
      <c r="C651" s="11">
        <f>IFERROR(VLOOKUP(A651,$F$4:$H$979,1,0),0)</f>
        <v>0</v>
      </c>
    </row>
    <row r="652" spans="3:3" x14ac:dyDescent="0.3">
      <c r="C652" s="11">
        <f>IFERROR(VLOOKUP(A652,$F$4:$H$979,1,0),0)</f>
        <v>0</v>
      </c>
    </row>
    <row r="653" spans="3:3" x14ac:dyDescent="0.3">
      <c r="C653" s="11">
        <f>IFERROR(VLOOKUP(A653,$F$4:$H$979,1,0),0)</f>
        <v>0</v>
      </c>
    </row>
    <row r="654" spans="3:3" x14ac:dyDescent="0.3">
      <c r="C654" s="11">
        <f>IFERROR(VLOOKUP(A654,$F$4:$H$979,1,0),0)</f>
        <v>0</v>
      </c>
    </row>
    <row r="655" spans="3:3" x14ac:dyDescent="0.3">
      <c r="C655" s="11">
        <f>IFERROR(VLOOKUP(A655,$F$4:$H$979,1,0),0)</f>
        <v>0</v>
      </c>
    </row>
    <row r="656" spans="3:3" x14ac:dyDescent="0.3">
      <c r="C656" s="11">
        <f>IFERROR(VLOOKUP(A656,$F$4:$H$979,1,0),0)</f>
        <v>0</v>
      </c>
    </row>
    <row r="657" spans="3:3" x14ac:dyDescent="0.3">
      <c r="C657" s="11">
        <f>IFERROR(VLOOKUP(A657,$F$4:$H$979,1,0),0)</f>
        <v>0</v>
      </c>
    </row>
    <row r="658" spans="3:3" x14ac:dyDescent="0.3">
      <c r="C658" s="11">
        <f>IFERROR(VLOOKUP(A658,$F$4:$H$979,1,0),0)</f>
        <v>0</v>
      </c>
    </row>
    <row r="659" spans="3:3" x14ac:dyDescent="0.3">
      <c r="C659" s="11">
        <f>IFERROR(VLOOKUP(A659,$F$4:$H$979,1,0),0)</f>
        <v>0</v>
      </c>
    </row>
    <row r="660" spans="3:3" x14ac:dyDescent="0.3">
      <c r="C660" s="11">
        <f>IFERROR(VLOOKUP(A660,$F$4:$H$979,1,0),0)</f>
        <v>0</v>
      </c>
    </row>
    <row r="661" spans="3:3" x14ac:dyDescent="0.3">
      <c r="C661" s="11">
        <f>IFERROR(VLOOKUP(A661,$F$4:$H$979,1,0),0)</f>
        <v>0</v>
      </c>
    </row>
    <row r="662" spans="3:3" x14ac:dyDescent="0.3">
      <c r="C662" s="11">
        <f>IFERROR(VLOOKUP(A662,$F$4:$H$979,1,0),0)</f>
        <v>0</v>
      </c>
    </row>
    <row r="663" spans="3:3" x14ac:dyDescent="0.3">
      <c r="C663" s="11">
        <f>IFERROR(VLOOKUP(A663,$F$4:$H$979,1,0),0)</f>
        <v>0</v>
      </c>
    </row>
    <row r="664" spans="3:3" x14ac:dyDescent="0.3">
      <c r="C664" s="11">
        <f>IFERROR(VLOOKUP(A664,$F$4:$H$979,1,0),0)</f>
        <v>0</v>
      </c>
    </row>
    <row r="665" spans="3:3" x14ac:dyDescent="0.3">
      <c r="C665" s="11">
        <f>IFERROR(VLOOKUP(A665,$F$4:$H$979,1,0),0)</f>
        <v>0</v>
      </c>
    </row>
    <row r="666" spans="3:3" x14ac:dyDescent="0.3">
      <c r="C666" s="11">
        <f>IFERROR(VLOOKUP(A666,$F$4:$H$979,1,0),0)</f>
        <v>0</v>
      </c>
    </row>
    <row r="667" spans="3:3" x14ac:dyDescent="0.3">
      <c r="C667" s="11">
        <f>IFERROR(VLOOKUP(A667,$F$4:$H$979,1,0),0)</f>
        <v>0</v>
      </c>
    </row>
    <row r="668" spans="3:3" x14ac:dyDescent="0.3">
      <c r="C668" s="11">
        <f>IFERROR(VLOOKUP(A668,$F$4:$H$979,1,0),0)</f>
        <v>0</v>
      </c>
    </row>
    <row r="669" spans="3:3" x14ac:dyDescent="0.3">
      <c r="C669" s="11">
        <f>IFERROR(VLOOKUP(A669,$F$4:$H$979,1,0),0)</f>
        <v>0</v>
      </c>
    </row>
    <row r="670" spans="3:3" x14ac:dyDescent="0.3">
      <c r="C670" s="11">
        <f>IFERROR(VLOOKUP(A670,$F$4:$H$979,1,0),0)</f>
        <v>0</v>
      </c>
    </row>
    <row r="671" spans="3:3" x14ac:dyDescent="0.3">
      <c r="C671" s="11">
        <f>IFERROR(VLOOKUP(A671,$F$4:$H$979,1,0),0)</f>
        <v>0</v>
      </c>
    </row>
    <row r="672" spans="3:3" x14ac:dyDescent="0.3">
      <c r="C672" s="11">
        <f>IFERROR(VLOOKUP(A672,$F$4:$H$979,1,0),0)</f>
        <v>0</v>
      </c>
    </row>
    <row r="673" spans="3:3" x14ac:dyDescent="0.3">
      <c r="C673" s="11">
        <f>IFERROR(VLOOKUP(A673,$F$4:$H$979,1,0),0)</f>
        <v>0</v>
      </c>
    </row>
    <row r="674" spans="3:3" x14ac:dyDescent="0.3">
      <c r="C674" s="11">
        <f>IFERROR(VLOOKUP(A674,$F$4:$H$979,1,0),0)</f>
        <v>0</v>
      </c>
    </row>
    <row r="675" spans="3:3" x14ac:dyDescent="0.3">
      <c r="C675" s="11">
        <f>IFERROR(VLOOKUP(A675,$F$4:$H$979,1,0),0)</f>
        <v>0</v>
      </c>
    </row>
    <row r="676" spans="3:3" x14ac:dyDescent="0.3">
      <c r="C676" s="11">
        <f>IFERROR(VLOOKUP(A676,$F$4:$H$979,1,0),0)</f>
        <v>0</v>
      </c>
    </row>
    <row r="677" spans="3:3" x14ac:dyDescent="0.3">
      <c r="C677" s="11">
        <f>IFERROR(VLOOKUP(A677,$F$4:$H$979,1,0),0)</f>
        <v>0</v>
      </c>
    </row>
    <row r="678" spans="3:3" x14ac:dyDescent="0.3">
      <c r="C678" s="11">
        <f>IFERROR(VLOOKUP(A678,$F$4:$H$979,1,0),0)</f>
        <v>0</v>
      </c>
    </row>
    <row r="679" spans="3:3" x14ac:dyDescent="0.3">
      <c r="C679" s="11">
        <f>IFERROR(VLOOKUP(A679,$F$4:$H$979,1,0),0)</f>
        <v>0</v>
      </c>
    </row>
    <row r="680" spans="3:3" x14ac:dyDescent="0.3">
      <c r="C680" s="11">
        <f>IFERROR(VLOOKUP(A680,$F$4:$H$979,1,0),0)</f>
        <v>0</v>
      </c>
    </row>
    <row r="681" spans="3:3" x14ac:dyDescent="0.3">
      <c r="C681" s="11">
        <f>IFERROR(VLOOKUP(A681,$F$4:$H$979,1,0),0)</f>
        <v>0</v>
      </c>
    </row>
    <row r="682" spans="3:3" x14ac:dyDescent="0.3">
      <c r="C682" s="11">
        <f>IFERROR(VLOOKUP(A682,$F$4:$H$979,1,0),0)</f>
        <v>0</v>
      </c>
    </row>
    <row r="683" spans="3:3" x14ac:dyDescent="0.3">
      <c r="C683" s="11">
        <f>IFERROR(VLOOKUP(A683,$F$4:$H$979,1,0),0)</f>
        <v>0</v>
      </c>
    </row>
    <row r="684" spans="3:3" x14ac:dyDescent="0.3">
      <c r="C684" s="11">
        <f>IFERROR(VLOOKUP(A684,$F$4:$H$979,1,0),0)</f>
        <v>0</v>
      </c>
    </row>
    <row r="685" spans="3:3" x14ac:dyDescent="0.3">
      <c r="C685" s="11">
        <f>IFERROR(VLOOKUP(A685,$F$4:$H$979,1,0),0)</f>
        <v>0</v>
      </c>
    </row>
    <row r="686" spans="3:3" x14ac:dyDescent="0.3">
      <c r="C686" s="11">
        <f>IFERROR(VLOOKUP(A686,$F$4:$H$979,1,0),0)</f>
        <v>0</v>
      </c>
    </row>
    <row r="687" spans="3:3" x14ac:dyDescent="0.3">
      <c r="C687" s="11">
        <f>IFERROR(VLOOKUP(A687,$F$4:$H$979,1,0),0)</f>
        <v>0</v>
      </c>
    </row>
    <row r="688" spans="3:3" x14ac:dyDescent="0.3">
      <c r="C688" s="11">
        <f>IFERROR(VLOOKUP(A688,$F$4:$H$979,1,0),0)</f>
        <v>0</v>
      </c>
    </row>
    <row r="689" spans="3:3" x14ac:dyDescent="0.3">
      <c r="C689" s="11">
        <f>IFERROR(VLOOKUP(A689,$F$4:$H$979,1,0),0)</f>
        <v>0</v>
      </c>
    </row>
    <row r="690" spans="3:3" x14ac:dyDescent="0.3">
      <c r="C690" s="11">
        <f>IFERROR(VLOOKUP(A690,$F$4:$H$979,1,0),0)</f>
        <v>0</v>
      </c>
    </row>
    <row r="691" spans="3:3" x14ac:dyDescent="0.3">
      <c r="C691" s="11">
        <f>IFERROR(VLOOKUP(A691,$F$4:$H$979,1,0),0)</f>
        <v>0</v>
      </c>
    </row>
    <row r="692" spans="3:3" x14ac:dyDescent="0.3">
      <c r="C692" s="11">
        <f>IFERROR(VLOOKUP(A692,$F$4:$H$979,1,0),0)</f>
        <v>0</v>
      </c>
    </row>
    <row r="693" spans="3:3" x14ac:dyDescent="0.3">
      <c r="C693" s="11">
        <f>IFERROR(VLOOKUP(A693,$F$4:$H$979,1,0),0)</f>
        <v>0</v>
      </c>
    </row>
    <row r="694" spans="3:3" x14ac:dyDescent="0.3">
      <c r="C694" s="11">
        <f>IFERROR(VLOOKUP(A694,$F$4:$H$979,1,0),0)</f>
        <v>0</v>
      </c>
    </row>
    <row r="695" spans="3:3" x14ac:dyDescent="0.3">
      <c r="C695" s="11">
        <f>IFERROR(VLOOKUP(A695,$F$4:$H$979,1,0),0)</f>
        <v>0</v>
      </c>
    </row>
    <row r="696" spans="3:3" x14ac:dyDescent="0.3">
      <c r="C696" s="11">
        <f>IFERROR(VLOOKUP(A696,$F$4:$H$979,1,0),0)</f>
        <v>0</v>
      </c>
    </row>
    <row r="697" spans="3:3" x14ac:dyDescent="0.3">
      <c r="C697" s="11">
        <f>IFERROR(VLOOKUP(A697,$F$4:$H$979,1,0),0)</f>
        <v>0</v>
      </c>
    </row>
    <row r="698" spans="3:3" x14ac:dyDescent="0.3">
      <c r="C698" s="11">
        <f>IFERROR(VLOOKUP(A698,$F$4:$H$979,1,0),0)</f>
        <v>0</v>
      </c>
    </row>
    <row r="699" spans="3:3" x14ac:dyDescent="0.3">
      <c r="C699" s="11">
        <f>IFERROR(VLOOKUP(A699,$F$4:$H$979,1,0),0)</f>
        <v>0</v>
      </c>
    </row>
    <row r="700" spans="3:3" x14ac:dyDescent="0.3">
      <c r="C700" s="11">
        <f>IFERROR(VLOOKUP(A700,$F$4:$H$979,1,0),0)</f>
        <v>0</v>
      </c>
    </row>
    <row r="701" spans="3:3" x14ac:dyDescent="0.3">
      <c r="C701" s="11">
        <f>IFERROR(VLOOKUP(A701,$F$4:$H$979,1,0),0)</f>
        <v>0</v>
      </c>
    </row>
    <row r="702" spans="3:3" x14ac:dyDescent="0.3">
      <c r="C702" s="11">
        <f>IFERROR(VLOOKUP(A702,$F$4:$H$979,1,0),0)</f>
        <v>0</v>
      </c>
    </row>
    <row r="703" spans="3:3" x14ac:dyDescent="0.3">
      <c r="C703" s="11">
        <f>IFERROR(VLOOKUP(A703,$F$4:$H$979,1,0),0)</f>
        <v>0</v>
      </c>
    </row>
    <row r="704" spans="3:3" x14ac:dyDescent="0.3">
      <c r="C704" s="11">
        <f>IFERROR(VLOOKUP(A704,$F$4:$H$979,1,0),0)</f>
        <v>0</v>
      </c>
    </row>
    <row r="705" spans="3:3" x14ac:dyDescent="0.3">
      <c r="C705" s="11">
        <f>IFERROR(VLOOKUP(A705,$F$4:$H$979,1,0),0)</f>
        <v>0</v>
      </c>
    </row>
    <row r="706" spans="3:3" x14ac:dyDescent="0.3">
      <c r="C706" s="11">
        <f>IFERROR(VLOOKUP(A706,$F$4:$H$979,1,0),0)</f>
        <v>0</v>
      </c>
    </row>
    <row r="707" spans="3:3" x14ac:dyDescent="0.3">
      <c r="C707" s="11">
        <f>IFERROR(VLOOKUP(A707,$F$4:$H$979,1,0),0)</f>
        <v>0</v>
      </c>
    </row>
    <row r="708" spans="3:3" x14ac:dyDescent="0.3">
      <c r="C708" s="11">
        <f>IFERROR(VLOOKUP(A708,$F$4:$H$979,1,0),0)</f>
        <v>0</v>
      </c>
    </row>
    <row r="709" spans="3:3" x14ac:dyDescent="0.3">
      <c r="C709" s="11">
        <f>IFERROR(VLOOKUP(A709,$F$4:$H$979,1,0),0)</f>
        <v>0</v>
      </c>
    </row>
    <row r="710" spans="3:3" x14ac:dyDescent="0.3">
      <c r="C710" s="11">
        <f>IFERROR(VLOOKUP(A710,$F$4:$H$979,1,0),0)</f>
        <v>0</v>
      </c>
    </row>
    <row r="711" spans="3:3" x14ac:dyDescent="0.3">
      <c r="C711" s="11">
        <f>IFERROR(VLOOKUP(A711,$F$4:$H$979,1,0),0)</f>
        <v>0</v>
      </c>
    </row>
    <row r="712" spans="3:3" x14ac:dyDescent="0.3">
      <c r="C712" s="11">
        <f>IFERROR(VLOOKUP(A712,$F$4:$H$979,1,0),0)</f>
        <v>0</v>
      </c>
    </row>
    <row r="713" spans="3:3" x14ac:dyDescent="0.3">
      <c r="C713" s="11">
        <f>IFERROR(VLOOKUP(A713,$F$4:$H$979,1,0),0)</f>
        <v>0</v>
      </c>
    </row>
    <row r="714" spans="3:3" x14ac:dyDescent="0.3">
      <c r="C714" s="11">
        <f>IFERROR(VLOOKUP(A714,$F$4:$H$979,1,0),0)</f>
        <v>0</v>
      </c>
    </row>
    <row r="715" spans="3:3" x14ac:dyDescent="0.3">
      <c r="C715" s="11">
        <f>IFERROR(VLOOKUP(A715,$F$4:$H$979,1,0),0)</f>
        <v>0</v>
      </c>
    </row>
    <row r="716" spans="3:3" x14ac:dyDescent="0.3">
      <c r="C716" s="11">
        <f>IFERROR(VLOOKUP(A716,$F$4:$H$979,1,0),0)</f>
        <v>0</v>
      </c>
    </row>
    <row r="717" spans="3:3" x14ac:dyDescent="0.3">
      <c r="C717" s="11">
        <f>IFERROR(VLOOKUP(A717,$F$4:$H$979,1,0),0)</f>
        <v>0</v>
      </c>
    </row>
    <row r="718" spans="3:3" x14ac:dyDescent="0.3">
      <c r="C718" s="11">
        <f>IFERROR(VLOOKUP(A718,$F$4:$H$979,1,0),0)</f>
        <v>0</v>
      </c>
    </row>
    <row r="719" spans="3:3" x14ac:dyDescent="0.3">
      <c r="C719" s="11">
        <f>IFERROR(VLOOKUP(A719,$F$4:$H$979,1,0),0)</f>
        <v>0</v>
      </c>
    </row>
    <row r="720" spans="3:3" x14ac:dyDescent="0.3">
      <c r="C720" s="11">
        <f>IFERROR(VLOOKUP(A720,$F$4:$H$979,1,0),0)</f>
        <v>0</v>
      </c>
    </row>
    <row r="721" spans="3:3" x14ac:dyDescent="0.3">
      <c r="C721" s="11">
        <f>IFERROR(VLOOKUP(A721,$F$4:$H$979,1,0),0)</f>
        <v>0</v>
      </c>
    </row>
    <row r="722" spans="3:3" x14ac:dyDescent="0.3">
      <c r="C722" s="11">
        <f>IFERROR(VLOOKUP(A722,$F$4:$H$979,1,0),0)</f>
        <v>0</v>
      </c>
    </row>
    <row r="723" spans="3:3" x14ac:dyDescent="0.3">
      <c r="C723" s="11">
        <f>IFERROR(VLOOKUP(A723,$F$4:$H$979,1,0),0)</f>
        <v>0</v>
      </c>
    </row>
    <row r="724" spans="3:3" x14ac:dyDescent="0.3">
      <c r="C724" s="11">
        <f>IFERROR(VLOOKUP(A724,$F$4:$H$979,1,0),0)</f>
        <v>0</v>
      </c>
    </row>
    <row r="725" spans="3:3" x14ac:dyDescent="0.3">
      <c r="C725" s="11">
        <f>IFERROR(VLOOKUP(A725,$F$4:$H$979,1,0),0)</f>
        <v>0</v>
      </c>
    </row>
    <row r="726" spans="3:3" x14ac:dyDescent="0.3">
      <c r="C726" s="11">
        <f>IFERROR(VLOOKUP(A726,$F$4:$H$979,1,0),0)</f>
        <v>0</v>
      </c>
    </row>
    <row r="727" spans="3:3" x14ac:dyDescent="0.3">
      <c r="C727" s="11">
        <f>IFERROR(VLOOKUP(A727,$F$4:$H$979,1,0),0)</f>
        <v>0</v>
      </c>
    </row>
    <row r="728" spans="3:3" x14ac:dyDescent="0.3">
      <c r="C728" s="11">
        <f>IFERROR(VLOOKUP(A728,$F$4:$H$979,1,0),0)</f>
        <v>0</v>
      </c>
    </row>
    <row r="729" spans="3:3" x14ac:dyDescent="0.3">
      <c r="C729" s="11">
        <f>IFERROR(VLOOKUP(A729,$F$4:$H$979,1,0),0)</f>
        <v>0</v>
      </c>
    </row>
    <row r="730" spans="3:3" x14ac:dyDescent="0.3">
      <c r="C730" s="11">
        <f>IFERROR(VLOOKUP(A730,$F$4:$H$979,1,0),0)</f>
        <v>0</v>
      </c>
    </row>
    <row r="731" spans="3:3" x14ac:dyDescent="0.3">
      <c r="C731" s="11">
        <f>IFERROR(VLOOKUP(A731,$F$4:$H$979,1,0),0)</f>
        <v>0</v>
      </c>
    </row>
    <row r="732" spans="3:3" x14ac:dyDescent="0.3">
      <c r="C732" s="11">
        <f>IFERROR(VLOOKUP(A732,$F$4:$H$979,1,0),0)</f>
        <v>0</v>
      </c>
    </row>
    <row r="733" spans="3:3" x14ac:dyDescent="0.3">
      <c r="C733" s="11">
        <f>IFERROR(VLOOKUP(A733,$F$4:$H$979,1,0),0)</f>
        <v>0</v>
      </c>
    </row>
    <row r="734" spans="3:3" x14ac:dyDescent="0.3">
      <c r="C734" s="11">
        <f>IFERROR(VLOOKUP(A734,$F$4:$H$979,1,0),0)</f>
        <v>0</v>
      </c>
    </row>
    <row r="735" spans="3:3" x14ac:dyDescent="0.3">
      <c r="C735" s="11">
        <f>IFERROR(VLOOKUP(A735,$F$4:$H$979,1,0),0)</f>
        <v>0</v>
      </c>
    </row>
    <row r="736" spans="3:3" x14ac:dyDescent="0.3">
      <c r="C736" s="11">
        <f>IFERROR(VLOOKUP(A736,$F$4:$H$979,1,0),0)</f>
        <v>0</v>
      </c>
    </row>
    <row r="737" spans="3:3" x14ac:dyDescent="0.3">
      <c r="C737" s="11">
        <f>IFERROR(VLOOKUP(A737,$F$4:$H$979,1,0),0)</f>
        <v>0</v>
      </c>
    </row>
    <row r="738" spans="3:3" x14ac:dyDescent="0.3">
      <c r="C738" s="11">
        <f>IFERROR(VLOOKUP(A738,$F$4:$H$979,1,0),0)</f>
        <v>0</v>
      </c>
    </row>
    <row r="739" spans="3:3" x14ac:dyDescent="0.3">
      <c r="C739" s="11">
        <f>IFERROR(VLOOKUP(A739,$F$4:$H$979,1,0),0)</f>
        <v>0</v>
      </c>
    </row>
    <row r="740" spans="3:3" x14ac:dyDescent="0.3">
      <c r="C740" s="11">
        <f>IFERROR(VLOOKUP(A740,$F$4:$H$979,1,0),0)</f>
        <v>0</v>
      </c>
    </row>
    <row r="741" spans="3:3" x14ac:dyDescent="0.3">
      <c r="C741" s="11">
        <f>IFERROR(VLOOKUP(A741,$F$4:$H$979,1,0),0)</f>
        <v>0</v>
      </c>
    </row>
    <row r="742" spans="3:3" x14ac:dyDescent="0.3">
      <c r="C742" s="11">
        <f>IFERROR(VLOOKUP(A742,$F$4:$H$979,1,0),0)</f>
        <v>0</v>
      </c>
    </row>
    <row r="743" spans="3:3" x14ac:dyDescent="0.3">
      <c r="C743" s="11">
        <f>IFERROR(VLOOKUP(A743,$F$4:$H$979,1,0),0)</f>
        <v>0</v>
      </c>
    </row>
    <row r="744" spans="3:3" x14ac:dyDescent="0.3">
      <c r="C744" s="11">
        <f>IFERROR(VLOOKUP(A744,$F$4:$H$979,1,0),0)</f>
        <v>0</v>
      </c>
    </row>
    <row r="745" spans="3:3" x14ac:dyDescent="0.3">
      <c r="C745" s="11">
        <f>IFERROR(VLOOKUP(A745,$F$4:$H$979,1,0),0)</f>
        <v>0</v>
      </c>
    </row>
    <row r="746" spans="3:3" x14ac:dyDescent="0.3">
      <c r="C746" s="11">
        <f>IFERROR(VLOOKUP(A746,$F$4:$H$979,1,0),0)</f>
        <v>0</v>
      </c>
    </row>
    <row r="747" spans="3:3" x14ac:dyDescent="0.3">
      <c r="C747" s="11">
        <f>IFERROR(VLOOKUP(A747,$F$4:$H$979,1,0),0)</f>
        <v>0</v>
      </c>
    </row>
    <row r="748" spans="3:3" x14ac:dyDescent="0.3">
      <c r="C748" s="11">
        <f>IFERROR(VLOOKUP(A748,$F$4:$H$979,1,0),0)</f>
        <v>0</v>
      </c>
    </row>
    <row r="749" spans="3:3" x14ac:dyDescent="0.3">
      <c r="C749" s="11">
        <f>IFERROR(VLOOKUP(A749,$F$4:$H$979,1,0),0)</f>
        <v>0</v>
      </c>
    </row>
    <row r="750" spans="3:3" x14ac:dyDescent="0.3">
      <c r="C750" s="11">
        <f>IFERROR(VLOOKUP(A750,$F$4:$H$979,1,0),0)</f>
        <v>0</v>
      </c>
    </row>
    <row r="751" spans="3:3" x14ac:dyDescent="0.3">
      <c r="C751" s="11">
        <f>IFERROR(VLOOKUP(A751,$F$4:$H$979,1,0),0)</f>
        <v>0</v>
      </c>
    </row>
    <row r="752" spans="3:3" x14ac:dyDescent="0.3">
      <c r="C752" s="11">
        <f>IFERROR(VLOOKUP(A752,$F$4:$H$979,1,0),0)</f>
        <v>0</v>
      </c>
    </row>
    <row r="753" spans="3:3" x14ac:dyDescent="0.3">
      <c r="C753" s="11">
        <f>IFERROR(VLOOKUP(A753,$F$4:$H$979,1,0),0)</f>
        <v>0</v>
      </c>
    </row>
    <row r="754" spans="3:3" x14ac:dyDescent="0.3">
      <c r="C754" s="11">
        <f>IFERROR(VLOOKUP(A754,$F$4:$H$979,1,0),0)</f>
        <v>0</v>
      </c>
    </row>
    <row r="755" spans="3:3" x14ac:dyDescent="0.3">
      <c r="C755" s="11">
        <f>IFERROR(VLOOKUP(A755,$F$4:$H$979,1,0),0)</f>
        <v>0</v>
      </c>
    </row>
    <row r="756" spans="3:3" x14ac:dyDescent="0.3">
      <c r="C756" s="11">
        <f>IFERROR(VLOOKUP(A756,$F$4:$H$979,1,0),0)</f>
        <v>0</v>
      </c>
    </row>
    <row r="757" spans="3:3" x14ac:dyDescent="0.3">
      <c r="C757" s="11">
        <f>IFERROR(VLOOKUP(A757,$F$4:$H$979,1,0),0)</f>
        <v>0</v>
      </c>
    </row>
    <row r="758" spans="3:3" x14ac:dyDescent="0.3">
      <c r="C758" s="11">
        <f>IFERROR(VLOOKUP(A758,$F$4:$H$979,1,0),0)</f>
        <v>0</v>
      </c>
    </row>
    <row r="759" spans="3:3" x14ac:dyDescent="0.3">
      <c r="C759" s="11">
        <f>IFERROR(VLOOKUP(A759,$F$4:$H$979,1,0),0)</f>
        <v>0</v>
      </c>
    </row>
    <row r="760" spans="3:3" x14ac:dyDescent="0.3">
      <c r="C760" s="11">
        <f>IFERROR(VLOOKUP(A760,$F$4:$H$979,1,0),0)</f>
        <v>0</v>
      </c>
    </row>
    <row r="761" spans="3:3" x14ac:dyDescent="0.3">
      <c r="C761" s="11">
        <f>IFERROR(VLOOKUP(A761,$F$4:$H$979,1,0),0)</f>
        <v>0</v>
      </c>
    </row>
    <row r="762" spans="3:3" x14ac:dyDescent="0.3">
      <c r="C762" s="11">
        <f>IFERROR(VLOOKUP(A762,$F$4:$H$979,1,0),0)</f>
        <v>0</v>
      </c>
    </row>
    <row r="763" spans="3:3" x14ac:dyDescent="0.3">
      <c r="C763" s="11">
        <f>IFERROR(VLOOKUP(A763,$F$4:$H$979,1,0),0)</f>
        <v>0</v>
      </c>
    </row>
    <row r="764" spans="3:3" x14ac:dyDescent="0.3">
      <c r="C764" s="11">
        <f>IFERROR(VLOOKUP(A764,$F$4:$H$979,1,0),0)</f>
        <v>0</v>
      </c>
    </row>
    <row r="765" spans="3:3" x14ac:dyDescent="0.3">
      <c r="C765" s="11">
        <f>IFERROR(VLOOKUP(A765,$F$4:$H$979,1,0),0)</f>
        <v>0</v>
      </c>
    </row>
    <row r="766" spans="3:3" x14ac:dyDescent="0.3">
      <c r="C766" s="11">
        <f>IFERROR(VLOOKUP(A766,$F$4:$H$979,1,0),0)</f>
        <v>0</v>
      </c>
    </row>
    <row r="767" spans="3:3" x14ac:dyDescent="0.3">
      <c r="C767" s="11">
        <f>IFERROR(VLOOKUP(A767,$F$4:$H$979,1,0),0)</f>
        <v>0</v>
      </c>
    </row>
    <row r="768" spans="3:3" x14ac:dyDescent="0.3">
      <c r="C768" s="11">
        <f>IFERROR(VLOOKUP(A768,$F$4:$H$979,1,0),0)</f>
        <v>0</v>
      </c>
    </row>
    <row r="769" spans="3:3" x14ac:dyDescent="0.3">
      <c r="C769" s="11">
        <f>IFERROR(VLOOKUP(A769,$F$4:$H$979,1,0),0)</f>
        <v>0</v>
      </c>
    </row>
    <row r="770" spans="3:3" x14ac:dyDescent="0.3">
      <c r="C770" s="11">
        <f>IFERROR(VLOOKUP(A770,$F$4:$H$979,1,0),0)</f>
        <v>0</v>
      </c>
    </row>
    <row r="771" spans="3:3" x14ac:dyDescent="0.3">
      <c r="C771" s="11">
        <f>IFERROR(VLOOKUP(A771,$F$4:$H$979,1,0),0)</f>
        <v>0</v>
      </c>
    </row>
    <row r="772" spans="3:3" x14ac:dyDescent="0.3">
      <c r="C772" s="11">
        <f>IFERROR(VLOOKUP(A772,$F$4:$H$979,1,0),0)</f>
        <v>0</v>
      </c>
    </row>
    <row r="773" spans="3:3" x14ac:dyDescent="0.3">
      <c r="C773" s="11">
        <f>IFERROR(VLOOKUP(A773,$F$4:$H$979,1,0),0)</f>
        <v>0</v>
      </c>
    </row>
    <row r="774" spans="3:3" x14ac:dyDescent="0.3">
      <c r="C774" s="11">
        <f>IFERROR(VLOOKUP(A774,$F$4:$H$979,1,0),0)</f>
        <v>0</v>
      </c>
    </row>
    <row r="775" spans="3:3" x14ac:dyDescent="0.3">
      <c r="C775" s="11">
        <f>IFERROR(VLOOKUP(A775,$F$4:$H$979,1,0),0)</f>
        <v>0</v>
      </c>
    </row>
    <row r="776" spans="3:3" x14ac:dyDescent="0.3">
      <c r="C776" s="11">
        <f>IFERROR(VLOOKUP(A776,$F$4:$H$979,1,0),0)</f>
        <v>0</v>
      </c>
    </row>
    <row r="777" spans="3:3" x14ac:dyDescent="0.3">
      <c r="C777" s="11">
        <f>IFERROR(VLOOKUP(A777,$F$4:$H$979,1,0),0)</f>
        <v>0</v>
      </c>
    </row>
    <row r="778" spans="3:3" x14ac:dyDescent="0.3">
      <c r="C778" s="11">
        <f>IFERROR(VLOOKUP(A778,$F$4:$H$979,1,0),0)</f>
        <v>0</v>
      </c>
    </row>
    <row r="779" spans="3:3" x14ac:dyDescent="0.3">
      <c r="C779" s="11">
        <f>IFERROR(VLOOKUP(A779,$F$4:$H$979,1,0),0)</f>
        <v>0</v>
      </c>
    </row>
    <row r="780" spans="3:3" x14ac:dyDescent="0.3">
      <c r="C780" s="11">
        <f>IFERROR(VLOOKUP(A780,$F$4:$H$979,1,0),0)</f>
        <v>0</v>
      </c>
    </row>
    <row r="781" spans="3:3" x14ac:dyDescent="0.3">
      <c r="C781" s="11">
        <f>IFERROR(VLOOKUP(A781,$F$4:$H$979,1,0),0)</f>
        <v>0</v>
      </c>
    </row>
    <row r="782" spans="3:3" x14ac:dyDescent="0.3">
      <c r="C782" s="11">
        <f>IFERROR(VLOOKUP(A782,$F$4:$H$979,1,0),0)</f>
        <v>0</v>
      </c>
    </row>
    <row r="783" spans="3:3" x14ac:dyDescent="0.3">
      <c r="C783" s="11">
        <f>IFERROR(VLOOKUP(A783,$F$4:$H$979,1,0),0)</f>
        <v>0</v>
      </c>
    </row>
    <row r="784" spans="3:3" x14ac:dyDescent="0.3">
      <c r="C784" s="11">
        <f>IFERROR(VLOOKUP(A784,$F$4:$H$979,1,0),0)</f>
        <v>0</v>
      </c>
    </row>
    <row r="785" spans="3:3" x14ac:dyDescent="0.3">
      <c r="C785" s="11">
        <f>IFERROR(VLOOKUP(A785,$F$4:$H$979,1,0),0)</f>
        <v>0</v>
      </c>
    </row>
    <row r="786" spans="3:3" x14ac:dyDescent="0.3">
      <c r="C786" s="11">
        <f>IFERROR(VLOOKUP(A786,$F$4:$H$979,1,0),0)</f>
        <v>0</v>
      </c>
    </row>
    <row r="787" spans="3:3" x14ac:dyDescent="0.3">
      <c r="C787" s="11">
        <f>IFERROR(VLOOKUP(A787,$F$4:$H$979,1,0),0)</f>
        <v>0</v>
      </c>
    </row>
    <row r="788" spans="3:3" x14ac:dyDescent="0.3">
      <c r="C788" s="11">
        <f>IFERROR(VLOOKUP(A788,$F$4:$H$979,1,0),0)</f>
        <v>0</v>
      </c>
    </row>
    <row r="789" spans="3:3" x14ac:dyDescent="0.3">
      <c r="C789" s="11">
        <f>IFERROR(VLOOKUP(A789,$F$4:$H$979,1,0),0)</f>
        <v>0</v>
      </c>
    </row>
    <row r="790" spans="3:3" x14ac:dyDescent="0.3">
      <c r="C790" s="11">
        <f>IFERROR(VLOOKUP(A790,$F$4:$H$979,1,0),0)</f>
        <v>0</v>
      </c>
    </row>
    <row r="791" spans="3:3" x14ac:dyDescent="0.3">
      <c r="C791" s="11">
        <f>IFERROR(VLOOKUP(A791,$F$4:$H$979,1,0),0)</f>
        <v>0</v>
      </c>
    </row>
    <row r="792" spans="3:3" x14ac:dyDescent="0.3">
      <c r="C792" s="11">
        <f>IFERROR(VLOOKUP(A792,$F$4:$H$979,1,0),0)</f>
        <v>0</v>
      </c>
    </row>
    <row r="793" spans="3:3" x14ac:dyDescent="0.3">
      <c r="C793" s="11">
        <f>IFERROR(VLOOKUP(A793,$F$4:$H$979,1,0),0)</f>
        <v>0</v>
      </c>
    </row>
    <row r="794" spans="3:3" x14ac:dyDescent="0.3">
      <c r="C794" s="11">
        <f>IFERROR(VLOOKUP(A794,$F$4:$H$979,1,0),0)</f>
        <v>0</v>
      </c>
    </row>
    <row r="795" spans="3:3" x14ac:dyDescent="0.3">
      <c r="C795" s="11">
        <f>IFERROR(VLOOKUP(A795,$F$4:$H$979,1,0),0)</f>
        <v>0</v>
      </c>
    </row>
    <row r="796" spans="3:3" x14ac:dyDescent="0.3">
      <c r="C796" s="11">
        <f>IFERROR(VLOOKUP(A796,$F$4:$H$979,1,0),0)</f>
        <v>0</v>
      </c>
    </row>
    <row r="797" spans="3:3" x14ac:dyDescent="0.3">
      <c r="C797" s="11">
        <f>IFERROR(VLOOKUP(A797,$F$4:$H$979,1,0),0)</f>
        <v>0</v>
      </c>
    </row>
    <row r="798" spans="3:3" x14ac:dyDescent="0.3">
      <c r="C798" s="11">
        <f>IFERROR(VLOOKUP(A798,$F$4:$H$979,1,0),0)</f>
        <v>0</v>
      </c>
    </row>
    <row r="799" spans="3:3" x14ac:dyDescent="0.3">
      <c r="C799" s="11">
        <f>IFERROR(VLOOKUP(A799,$F$4:$H$979,1,0),0)</f>
        <v>0</v>
      </c>
    </row>
    <row r="800" spans="3:3" x14ac:dyDescent="0.3">
      <c r="C800" s="11">
        <f>IFERROR(VLOOKUP(A800,$F$4:$H$979,1,0),0)</f>
        <v>0</v>
      </c>
    </row>
    <row r="801" spans="3:3" x14ac:dyDescent="0.3">
      <c r="C801" s="11">
        <f>IFERROR(VLOOKUP(A801,$F$4:$H$979,1,0),0)</f>
        <v>0</v>
      </c>
    </row>
    <row r="802" spans="3:3" x14ac:dyDescent="0.3">
      <c r="C802" s="11">
        <f>IFERROR(VLOOKUP(A802,$F$4:$H$979,1,0),0)</f>
        <v>0</v>
      </c>
    </row>
    <row r="803" spans="3:3" x14ac:dyDescent="0.3">
      <c r="C803" s="11">
        <f>IFERROR(VLOOKUP(A803,$F$4:$H$979,1,0),0)</f>
        <v>0</v>
      </c>
    </row>
    <row r="804" spans="3:3" x14ac:dyDescent="0.3">
      <c r="C804" s="11">
        <f>IFERROR(VLOOKUP(A804,$F$4:$H$979,1,0),0)</f>
        <v>0</v>
      </c>
    </row>
    <row r="805" spans="3:3" x14ac:dyDescent="0.3">
      <c r="C805" s="11">
        <f>IFERROR(VLOOKUP(A805,$F$4:$H$979,1,0),0)</f>
        <v>0</v>
      </c>
    </row>
    <row r="806" spans="3:3" x14ac:dyDescent="0.3">
      <c r="C806" s="11">
        <f>IFERROR(VLOOKUP(A806,$F$4:$H$979,1,0),0)</f>
        <v>0</v>
      </c>
    </row>
    <row r="807" spans="3:3" x14ac:dyDescent="0.3">
      <c r="C807" s="11">
        <f>IFERROR(VLOOKUP(A807,$F$4:$H$979,1,0),0)</f>
        <v>0</v>
      </c>
    </row>
    <row r="808" spans="3:3" x14ac:dyDescent="0.3">
      <c r="C808" s="11">
        <f>IFERROR(VLOOKUP(A808,$F$4:$H$979,1,0),0)</f>
        <v>0</v>
      </c>
    </row>
    <row r="809" spans="3:3" x14ac:dyDescent="0.3">
      <c r="C809" s="11">
        <f>IFERROR(VLOOKUP(A809,$F$4:$H$979,1,0),0)</f>
        <v>0</v>
      </c>
    </row>
    <row r="810" spans="3:3" x14ac:dyDescent="0.3">
      <c r="C810" s="11">
        <f>IFERROR(VLOOKUP(A810,$F$4:$H$979,1,0),0)</f>
        <v>0</v>
      </c>
    </row>
    <row r="811" spans="3:3" x14ac:dyDescent="0.3">
      <c r="C811" s="11">
        <f>IFERROR(VLOOKUP(A811,$F$4:$H$979,1,0),0)</f>
        <v>0</v>
      </c>
    </row>
    <row r="812" spans="3:3" x14ac:dyDescent="0.3">
      <c r="C812" s="11">
        <f>IFERROR(VLOOKUP(A812,$F$4:$H$979,1,0),0)</f>
        <v>0</v>
      </c>
    </row>
    <row r="813" spans="3:3" x14ac:dyDescent="0.3">
      <c r="C813" s="11">
        <f>IFERROR(VLOOKUP(A813,$F$4:$H$979,1,0),0)</f>
        <v>0</v>
      </c>
    </row>
    <row r="814" spans="3:3" x14ac:dyDescent="0.3">
      <c r="C814" s="11">
        <f>IFERROR(VLOOKUP(A814,$F$4:$H$979,1,0),0)</f>
        <v>0</v>
      </c>
    </row>
    <row r="815" spans="3:3" x14ac:dyDescent="0.3">
      <c r="C815" s="11">
        <f>IFERROR(VLOOKUP(A815,$F$4:$H$979,1,0),0)</f>
        <v>0</v>
      </c>
    </row>
    <row r="816" spans="3:3" x14ac:dyDescent="0.3">
      <c r="C816" s="11">
        <f>IFERROR(VLOOKUP(A816,$F$4:$H$979,1,0),0)</f>
        <v>0</v>
      </c>
    </row>
    <row r="817" spans="3:3" x14ac:dyDescent="0.3">
      <c r="C817" s="11">
        <f>IFERROR(VLOOKUP(A817,$F$4:$H$979,1,0),0)</f>
        <v>0</v>
      </c>
    </row>
    <row r="818" spans="3:3" x14ac:dyDescent="0.3">
      <c r="C818" s="11">
        <f>IFERROR(VLOOKUP(A818,$F$4:$H$979,1,0),0)</f>
        <v>0</v>
      </c>
    </row>
    <row r="819" spans="3:3" x14ac:dyDescent="0.3">
      <c r="C819" s="11">
        <f>IFERROR(VLOOKUP(A819,$F$4:$H$979,1,0),0)</f>
        <v>0</v>
      </c>
    </row>
    <row r="820" spans="3:3" x14ac:dyDescent="0.3">
      <c r="C820" s="11">
        <f>IFERROR(VLOOKUP(A820,$F$4:$H$979,1,0),0)</f>
        <v>0</v>
      </c>
    </row>
    <row r="821" spans="3:3" x14ac:dyDescent="0.3">
      <c r="C821" s="11">
        <f>IFERROR(VLOOKUP(A821,$F$4:$H$979,1,0),0)</f>
        <v>0</v>
      </c>
    </row>
    <row r="822" spans="3:3" x14ac:dyDescent="0.3">
      <c r="C822" s="11">
        <f>IFERROR(VLOOKUP(A822,$F$4:$H$979,1,0),0)</f>
        <v>0</v>
      </c>
    </row>
    <row r="823" spans="3:3" x14ac:dyDescent="0.3">
      <c r="C823" s="11">
        <f>IFERROR(VLOOKUP(A823,$F$4:$H$979,1,0),0)</f>
        <v>0</v>
      </c>
    </row>
    <row r="824" spans="3:3" x14ac:dyDescent="0.3">
      <c r="C824" s="11">
        <f>IFERROR(VLOOKUP(A824,$F$4:$H$979,1,0),0)</f>
        <v>0</v>
      </c>
    </row>
    <row r="825" spans="3:3" x14ac:dyDescent="0.3">
      <c r="C825" s="11">
        <f>IFERROR(VLOOKUP(A825,$F$4:$H$979,1,0),0)</f>
        <v>0</v>
      </c>
    </row>
    <row r="826" spans="3:3" x14ac:dyDescent="0.3">
      <c r="C826" s="11">
        <f>IFERROR(VLOOKUP(A826,$F$4:$H$979,1,0),0)</f>
        <v>0</v>
      </c>
    </row>
    <row r="827" spans="3:3" x14ac:dyDescent="0.3">
      <c r="C827" s="11">
        <f>IFERROR(VLOOKUP(A827,$F$4:$H$979,1,0),0)</f>
        <v>0</v>
      </c>
    </row>
    <row r="828" spans="3:3" x14ac:dyDescent="0.3">
      <c r="C828" s="11">
        <f>IFERROR(VLOOKUP(A828,$F$4:$H$979,1,0),0)</f>
        <v>0</v>
      </c>
    </row>
    <row r="829" spans="3:3" x14ac:dyDescent="0.3">
      <c r="C829" s="11">
        <f>IFERROR(VLOOKUP(A829,$F$4:$H$979,1,0),0)</f>
        <v>0</v>
      </c>
    </row>
    <row r="830" spans="3:3" x14ac:dyDescent="0.3">
      <c r="C830" s="11">
        <f>IFERROR(VLOOKUP(A830,$F$4:$H$979,1,0),0)</f>
        <v>0</v>
      </c>
    </row>
    <row r="831" spans="3:3" x14ac:dyDescent="0.3">
      <c r="C831" s="11">
        <f>IFERROR(VLOOKUP(A831,$F$4:$H$979,1,0),0)</f>
        <v>0</v>
      </c>
    </row>
    <row r="832" spans="3:3" x14ac:dyDescent="0.3">
      <c r="C832" s="11">
        <f>IFERROR(VLOOKUP(A832,$F$4:$H$979,1,0),0)</f>
        <v>0</v>
      </c>
    </row>
    <row r="833" spans="3:3" x14ac:dyDescent="0.3">
      <c r="C833" s="11">
        <f>IFERROR(VLOOKUP(A833,$F$4:$H$979,1,0),0)</f>
        <v>0</v>
      </c>
    </row>
    <row r="834" spans="3:3" x14ac:dyDescent="0.3">
      <c r="C834" s="11">
        <f>IFERROR(VLOOKUP(A834,$F$4:$H$979,1,0),0)</f>
        <v>0</v>
      </c>
    </row>
    <row r="835" spans="3:3" x14ac:dyDescent="0.3">
      <c r="C835" s="11">
        <f>IFERROR(VLOOKUP(A835,$F$4:$H$979,1,0),0)</f>
        <v>0</v>
      </c>
    </row>
    <row r="836" spans="3:3" x14ac:dyDescent="0.3">
      <c r="C836" s="11">
        <f>IFERROR(VLOOKUP(A836,$F$4:$H$979,1,0),0)</f>
        <v>0</v>
      </c>
    </row>
    <row r="837" spans="3:3" x14ac:dyDescent="0.3">
      <c r="C837" s="11">
        <f>IFERROR(VLOOKUP(A837,$F$4:$H$979,1,0),0)</f>
        <v>0</v>
      </c>
    </row>
    <row r="838" spans="3:3" x14ac:dyDescent="0.3">
      <c r="C838" s="11">
        <f>IFERROR(VLOOKUP(A838,$F$4:$H$979,1,0),0)</f>
        <v>0</v>
      </c>
    </row>
    <row r="839" spans="3:3" x14ac:dyDescent="0.3">
      <c r="C839" s="11">
        <f>IFERROR(VLOOKUP(A839,$F$4:$H$979,1,0),0)</f>
        <v>0</v>
      </c>
    </row>
    <row r="840" spans="3:3" x14ac:dyDescent="0.3">
      <c r="C840" s="11">
        <f>IFERROR(VLOOKUP(A840,$F$4:$H$979,1,0),0)</f>
        <v>0</v>
      </c>
    </row>
    <row r="841" spans="3:3" x14ac:dyDescent="0.3">
      <c r="C841" s="11">
        <f>IFERROR(VLOOKUP(A841,$F$4:$H$979,1,0),0)</f>
        <v>0</v>
      </c>
    </row>
    <row r="842" spans="3:3" x14ac:dyDescent="0.3">
      <c r="C842" s="11">
        <f>IFERROR(VLOOKUP(A842,$F$4:$H$979,1,0),0)</f>
        <v>0</v>
      </c>
    </row>
    <row r="843" spans="3:3" x14ac:dyDescent="0.3">
      <c r="C843" s="11">
        <f>IFERROR(VLOOKUP(A843,$F$4:$H$979,1,0),0)</f>
        <v>0</v>
      </c>
    </row>
    <row r="844" spans="3:3" x14ac:dyDescent="0.3">
      <c r="C844" s="11">
        <f>IFERROR(VLOOKUP(A844,$F$4:$H$979,1,0),0)</f>
        <v>0</v>
      </c>
    </row>
    <row r="845" spans="3:3" x14ac:dyDescent="0.3">
      <c r="C845" s="11">
        <f>IFERROR(VLOOKUP(A845,$F$4:$H$979,1,0),0)</f>
        <v>0</v>
      </c>
    </row>
    <row r="846" spans="3:3" x14ac:dyDescent="0.3">
      <c r="C846" s="11">
        <f>IFERROR(VLOOKUP(A846,$F$4:$H$979,1,0),0)</f>
        <v>0</v>
      </c>
    </row>
    <row r="847" spans="3:3" x14ac:dyDescent="0.3">
      <c r="C847" s="11">
        <f>IFERROR(VLOOKUP(A847,$F$4:$H$979,1,0),0)</f>
        <v>0</v>
      </c>
    </row>
    <row r="848" spans="3:3" x14ac:dyDescent="0.3">
      <c r="C848" s="11">
        <f>IFERROR(VLOOKUP(A848,$F$4:$H$979,1,0),0)</f>
        <v>0</v>
      </c>
    </row>
    <row r="849" spans="3:3" x14ac:dyDescent="0.3">
      <c r="C849" s="11">
        <f>IFERROR(VLOOKUP(A849,$F$4:$H$979,1,0),0)</f>
        <v>0</v>
      </c>
    </row>
    <row r="850" spans="3:3" x14ac:dyDescent="0.3">
      <c r="C850" s="11">
        <f>IFERROR(VLOOKUP(A850,$F$4:$H$979,1,0),0)</f>
        <v>0</v>
      </c>
    </row>
    <row r="851" spans="3:3" x14ac:dyDescent="0.3">
      <c r="C851" s="11">
        <f>IFERROR(VLOOKUP(A851,$F$4:$H$979,1,0),0)</f>
        <v>0</v>
      </c>
    </row>
    <row r="852" spans="3:3" x14ac:dyDescent="0.3">
      <c r="C852" s="11">
        <f>IFERROR(VLOOKUP(A852,$F$4:$H$979,1,0),0)</f>
        <v>0</v>
      </c>
    </row>
    <row r="853" spans="3:3" x14ac:dyDescent="0.3">
      <c r="C853" s="11">
        <f>IFERROR(VLOOKUP(A853,$F$4:$H$979,1,0),0)</f>
        <v>0</v>
      </c>
    </row>
    <row r="854" spans="3:3" x14ac:dyDescent="0.3">
      <c r="C854" s="11">
        <f>IFERROR(VLOOKUP(A854,$F$4:$H$979,1,0),0)</f>
        <v>0</v>
      </c>
    </row>
    <row r="855" spans="3:3" x14ac:dyDescent="0.3">
      <c r="C855" s="11">
        <f>IFERROR(VLOOKUP(A855,$F$4:$H$979,1,0),0)</f>
        <v>0</v>
      </c>
    </row>
    <row r="856" spans="3:3" x14ac:dyDescent="0.3">
      <c r="C856" s="11">
        <f>IFERROR(VLOOKUP(A856,$F$4:$H$979,1,0),0)</f>
        <v>0</v>
      </c>
    </row>
    <row r="857" spans="3:3" x14ac:dyDescent="0.3">
      <c r="C857" s="11">
        <f>IFERROR(VLOOKUP(A857,$F$4:$H$979,1,0),0)</f>
        <v>0</v>
      </c>
    </row>
    <row r="858" spans="3:3" x14ac:dyDescent="0.3">
      <c r="C858" s="11">
        <f>IFERROR(VLOOKUP(A858,$F$4:$H$979,1,0),0)</f>
        <v>0</v>
      </c>
    </row>
    <row r="859" spans="3:3" x14ac:dyDescent="0.3">
      <c r="C859" s="11">
        <f>IFERROR(VLOOKUP(A859,$F$4:$H$979,1,0),0)</f>
        <v>0</v>
      </c>
    </row>
    <row r="860" spans="3:3" x14ac:dyDescent="0.3">
      <c r="C860" s="11">
        <f>IFERROR(VLOOKUP(A860,$F$4:$H$979,1,0),0)</f>
        <v>0</v>
      </c>
    </row>
    <row r="861" spans="3:3" x14ac:dyDescent="0.3">
      <c r="C861" s="11">
        <f>IFERROR(VLOOKUP(A861,$F$4:$H$979,1,0),0)</f>
        <v>0</v>
      </c>
    </row>
    <row r="862" spans="3:3" x14ac:dyDescent="0.3">
      <c r="C862" s="11">
        <f>IFERROR(VLOOKUP(A862,$F$4:$H$979,1,0),0)</f>
        <v>0</v>
      </c>
    </row>
    <row r="863" spans="3:3" x14ac:dyDescent="0.3">
      <c r="C863" s="11">
        <f>IFERROR(VLOOKUP(A863,$F$4:$H$979,1,0),0)</f>
        <v>0</v>
      </c>
    </row>
    <row r="864" spans="3:3" x14ac:dyDescent="0.3">
      <c r="C864" s="11">
        <f>IFERROR(VLOOKUP(A864,$F$4:$H$979,1,0),0)</f>
        <v>0</v>
      </c>
    </row>
    <row r="865" spans="3:3" x14ac:dyDescent="0.3">
      <c r="C865" s="11">
        <f>IFERROR(VLOOKUP(A865,$F$4:$H$979,1,0),0)</f>
        <v>0</v>
      </c>
    </row>
    <row r="866" spans="3:3" x14ac:dyDescent="0.3">
      <c r="C866" s="11">
        <f>IFERROR(VLOOKUP(A866,$F$4:$H$979,1,0),0)</f>
        <v>0</v>
      </c>
    </row>
    <row r="867" spans="3:3" x14ac:dyDescent="0.3">
      <c r="C867" s="11">
        <f>IFERROR(VLOOKUP(A867,$F$4:$H$979,1,0),0)</f>
        <v>0</v>
      </c>
    </row>
    <row r="868" spans="3:3" x14ac:dyDescent="0.3">
      <c r="C868" s="11">
        <f>IFERROR(VLOOKUP(A868,$F$4:$H$979,1,0),0)</f>
        <v>0</v>
      </c>
    </row>
    <row r="869" spans="3:3" x14ac:dyDescent="0.3">
      <c r="C869" s="11">
        <f>IFERROR(VLOOKUP(A869,$F$4:$H$979,1,0),0)</f>
        <v>0</v>
      </c>
    </row>
    <row r="870" spans="3:3" x14ac:dyDescent="0.3">
      <c r="C870" s="11">
        <f>IFERROR(VLOOKUP(A870,$F$4:$H$979,1,0),0)</f>
        <v>0</v>
      </c>
    </row>
    <row r="871" spans="3:3" x14ac:dyDescent="0.3">
      <c r="C871" s="11">
        <f>IFERROR(VLOOKUP(A871,$F$4:$H$979,1,0),0)</f>
        <v>0</v>
      </c>
    </row>
    <row r="872" spans="3:3" x14ac:dyDescent="0.3">
      <c r="C872" s="11">
        <f>IFERROR(VLOOKUP(A872,$F$4:$H$979,1,0),0)</f>
        <v>0</v>
      </c>
    </row>
    <row r="873" spans="3:3" x14ac:dyDescent="0.3">
      <c r="C873" s="11">
        <f>IFERROR(VLOOKUP(A873,$F$4:$H$979,1,0),0)</f>
        <v>0</v>
      </c>
    </row>
    <row r="874" spans="3:3" x14ac:dyDescent="0.3">
      <c r="C874" s="11">
        <f>IFERROR(VLOOKUP(A874,$F$4:$H$979,1,0),0)</f>
        <v>0</v>
      </c>
    </row>
    <row r="875" spans="3:3" x14ac:dyDescent="0.3">
      <c r="C875" s="11">
        <f>IFERROR(VLOOKUP(A875,$F$4:$H$979,1,0),0)</f>
        <v>0</v>
      </c>
    </row>
    <row r="876" spans="3:3" x14ac:dyDescent="0.3">
      <c r="C876" s="11">
        <f>IFERROR(VLOOKUP(A876,$F$4:$H$979,1,0),0)</f>
        <v>0</v>
      </c>
    </row>
    <row r="877" spans="3:3" x14ac:dyDescent="0.3">
      <c r="C877" s="11">
        <f>IFERROR(VLOOKUP(A877,$F$4:$H$979,1,0),0)</f>
        <v>0</v>
      </c>
    </row>
    <row r="878" spans="3:3" x14ac:dyDescent="0.3">
      <c r="C878" s="11">
        <f>IFERROR(VLOOKUP(A878,$F$4:$H$979,1,0),0)</f>
        <v>0</v>
      </c>
    </row>
    <row r="879" spans="3:3" x14ac:dyDescent="0.3">
      <c r="C879" s="11">
        <f>IFERROR(VLOOKUP(A879,$F$4:$H$979,1,0),0)</f>
        <v>0</v>
      </c>
    </row>
    <row r="880" spans="3:3" x14ac:dyDescent="0.3">
      <c r="C880" s="11">
        <f>IFERROR(VLOOKUP(A880,$F$4:$H$979,1,0),0)</f>
        <v>0</v>
      </c>
    </row>
    <row r="881" spans="3:3" x14ac:dyDescent="0.3">
      <c r="C881" s="11">
        <f>IFERROR(VLOOKUP(A881,$F$4:$H$979,1,0),0)</f>
        <v>0</v>
      </c>
    </row>
    <row r="882" spans="3:3" x14ac:dyDescent="0.3">
      <c r="C882" s="11">
        <f>IFERROR(VLOOKUP(A882,$F$4:$H$979,1,0),0)</f>
        <v>0</v>
      </c>
    </row>
    <row r="883" spans="3:3" x14ac:dyDescent="0.3">
      <c r="C883" s="11">
        <f>IFERROR(VLOOKUP(A883,$F$4:$H$979,1,0),0)</f>
        <v>0</v>
      </c>
    </row>
    <row r="884" spans="3:3" x14ac:dyDescent="0.3">
      <c r="C884" s="11">
        <f>IFERROR(VLOOKUP(A884,$F$4:$H$979,1,0),0)</f>
        <v>0</v>
      </c>
    </row>
    <row r="885" spans="3:3" x14ac:dyDescent="0.3">
      <c r="C885" s="11">
        <f>IFERROR(VLOOKUP(A885,$F$4:$H$979,1,0),0)</f>
        <v>0</v>
      </c>
    </row>
    <row r="886" spans="3:3" x14ac:dyDescent="0.3">
      <c r="C886" s="11">
        <f>IFERROR(VLOOKUP(A886,$F$4:$H$979,1,0),0)</f>
        <v>0</v>
      </c>
    </row>
    <row r="887" spans="3:3" x14ac:dyDescent="0.3">
      <c r="C887" s="11">
        <f>IFERROR(VLOOKUP(A887,$F$4:$H$979,1,0),0)</f>
        <v>0</v>
      </c>
    </row>
    <row r="888" spans="3:3" x14ac:dyDescent="0.3">
      <c r="C888" s="11">
        <f>IFERROR(VLOOKUP(A888,$F$4:$H$979,1,0),0)</f>
        <v>0</v>
      </c>
    </row>
    <row r="889" spans="3:3" x14ac:dyDescent="0.3">
      <c r="C889" s="11">
        <f>IFERROR(VLOOKUP(A889,$F$4:$H$979,1,0),0)</f>
        <v>0</v>
      </c>
    </row>
    <row r="890" spans="3:3" x14ac:dyDescent="0.3">
      <c r="C890" s="11">
        <f>IFERROR(VLOOKUP(A890,$F$4:$H$979,1,0),0)</f>
        <v>0</v>
      </c>
    </row>
    <row r="891" spans="3:3" x14ac:dyDescent="0.3">
      <c r="C891" s="11">
        <f>IFERROR(VLOOKUP(A891,$F$4:$H$979,1,0),0)</f>
        <v>0</v>
      </c>
    </row>
    <row r="892" spans="3:3" x14ac:dyDescent="0.3">
      <c r="C892" s="11">
        <f>IFERROR(VLOOKUP(A892,$F$4:$H$979,1,0),0)</f>
        <v>0</v>
      </c>
    </row>
    <row r="893" spans="3:3" x14ac:dyDescent="0.3">
      <c r="C893" s="11">
        <f>IFERROR(VLOOKUP(A893,$F$4:$H$979,1,0),0)</f>
        <v>0</v>
      </c>
    </row>
    <row r="894" spans="3:3" x14ac:dyDescent="0.3">
      <c r="C894" s="11">
        <f>IFERROR(VLOOKUP(A894,$F$4:$H$979,1,0),0)</f>
        <v>0</v>
      </c>
    </row>
    <row r="895" spans="3:3" x14ac:dyDescent="0.3">
      <c r="C895" s="11">
        <f>IFERROR(VLOOKUP(A895,$F$4:$H$979,1,0),0)</f>
        <v>0</v>
      </c>
    </row>
    <row r="896" spans="3:3" x14ac:dyDescent="0.3">
      <c r="C896" s="11">
        <f>IFERROR(VLOOKUP(A896,$F$4:$H$979,1,0),0)</f>
        <v>0</v>
      </c>
    </row>
    <row r="897" spans="3:3" x14ac:dyDescent="0.3">
      <c r="C897" s="11">
        <f>IFERROR(VLOOKUP(A897,$F$4:$H$979,1,0),0)</f>
        <v>0</v>
      </c>
    </row>
    <row r="898" spans="3:3" x14ac:dyDescent="0.3">
      <c r="C898" s="11">
        <f>IFERROR(VLOOKUP(A898,$F$4:$H$979,1,0),0)</f>
        <v>0</v>
      </c>
    </row>
    <row r="899" spans="3:3" x14ac:dyDescent="0.3">
      <c r="C899" s="11">
        <f>IFERROR(VLOOKUP(A899,$F$4:$H$979,1,0),0)</f>
        <v>0</v>
      </c>
    </row>
    <row r="900" spans="3:3" x14ac:dyDescent="0.3">
      <c r="C900" s="11">
        <f>IFERROR(VLOOKUP(A900,$F$4:$H$979,1,0),0)</f>
        <v>0</v>
      </c>
    </row>
    <row r="901" spans="3:3" x14ac:dyDescent="0.3">
      <c r="C901" s="11">
        <f>IFERROR(VLOOKUP(A901,$F$4:$H$979,1,0),0)</f>
        <v>0</v>
      </c>
    </row>
    <row r="902" spans="3:3" x14ac:dyDescent="0.3">
      <c r="C902" s="11">
        <f>IFERROR(VLOOKUP(A902,$F$4:$H$979,1,0),0)</f>
        <v>0</v>
      </c>
    </row>
    <row r="903" spans="3:3" x14ac:dyDescent="0.3">
      <c r="C903" s="11">
        <f>IFERROR(VLOOKUP(A903,$F$4:$H$979,1,0),0)</f>
        <v>0</v>
      </c>
    </row>
    <row r="904" spans="3:3" x14ac:dyDescent="0.3">
      <c r="C904" s="11">
        <f>IFERROR(VLOOKUP(A904,$F$4:$H$979,1,0),0)</f>
        <v>0</v>
      </c>
    </row>
    <row r="905" spans="3:3" x14ac:dyDescent="0.3">
      <c r="C905" s="11">
        <f>IFERROR(VLOOKUP(A905,$F$4:$H$979,1,0),0)</f>
        <v>0</v>
      </c>
    </row>
    <row r="906" spans="3:3" x14ac:dyDescent="0.3">
      <c r="C906" s="11">
        <f>IFERROR(VLOOKUP(A906,$F$4:$H$979,1,0),0)</f>
        <v>0</v>
      </c>
    </row>
    <row r="907" spans="3:3" x14ac:dyDescent="0.3">
      <c r="C907" s="11">
        <f>IFERROR(VLOOKUP(A907,$F$4:$H$979,1,0),0)</f>
        <v>0</v>
      </c>
    </row>
    <row r="908" spans="3:3" x14ac:dyDescent="0.3">
      <c r="C908" s="11">
        <f>IFERROR(VLOOKUP(A908,$F$4:$H$979,1,0),0)</f>
        <v>0</v>
      </c>
    </row>
    <row r="909" spans="3:3" x14ac:dyDescent="0.3">
      <c r="C909" s="11">
        <f>IFERROR(VLOOKUP(A909,$F$4:$H$979,1,0),0)</f>
        <v>0</v>
      </c>
    </row>
    <row r="910" spans="3:3" x14ac:dyDescent="0.3">
      <c r="C910" s="11">
        <f>IFERROR(VLOOKUP(A910,$F$4:$H$979,1,0),0)</f>
        <v>0</v>
      </c>
    </row>
    <row r="911" spans="3:3" x14ac:dyDescent="0.3">
      <c r="C911" s="11">
        <f>IFERROR(VLOOKUP(A911,$F$4:$H$979,1,0),0)</f>
        <v>0</v>
      </c>
    </row>
    <row r="912" spans="3:3" x14ac:dyDescent="0.3">
      <c r="C912" s="11">
        <f>IFERROR(VLOOKUP(A912,$F$4:$H$979,1,0),0)</f>
        <v>0</v>
      </c>
    </row>
    <row r="913" spans="3:3" x14ac:dyDescent="0.3">
      <c r="C913" s="11">
        <f>IFERROR(VLOOKUP(A913,$F$4:$H$979,1,0),0)</f>
        <v>0</v>
      </c>
    </row>
    <row r="914" spans="3:3" x14ac:dyDescent="0.3">
      <c r="C914" s="11">
        <f>IFERROR(VLOOKUP(A914,$F$4:$H$979,1,0),0)</f>
        <v>0</v>
      </c>
    </row>
    <row r="915" spans="3:3" x14ac:dyDescent="0.3">
      <c r="C915" s="11">
        <f>IFERROR(VLOOKUP(A915,$F$4:$H$979,1,0),0)</f>
        <v>0</v>
      </c>
    </row>
    <row r="916" spans="3:3" x14ac:dyDescent="0.3">
      <c r="C916" s="11">
        <f>IFERROR(VLOOKUP(A916,$F$4:$H$979,1,0),0)</f>
        <v>0</v>
      </c>
    </row>
    <row r="917" spans="3:3" x14ac:dyDescent="0.3">
      <c r="C917" s="11">
        <f>IFERROR(VLOOKUP(A917,$F$4:$H$979,1,0),0)</f>
        <v>0</v>
      </c>
    </row>
    <row r="918" spans="3:3" x14ac:dyDescent="0.3">
      <c r="C918" s="11">
        <f>IFERROR(VLOOKUP(A918,$F$4:$H$979,1,0),0)</f>
        <v>0</v>
      </c>
    </row>
    <row r="919" spans="3:3" x14ac:dyDescent="0.3">
      <c r="C919" s="11">
        <f>IFERROR(VLOOKUP(A919,$F$4:$H$979,1,0),0)</f>
        <v>0</v>
      </c>
    </row>
    <row r="920" spans="3:3" x14ac:dyDescent="0.3">
      <c r="C920" s="11">
        <f>IFERROR(VLOOKUP(A920,$F$4:$H$979,1,0),0)</f>
        <v>0</v>
      </c>
    </row>
    <row r="921" spans="3:3" x14ac:dyDescent="0.3">
      <c r="C921" s="11">
        <f>IFERROR(VLOOKUP(A921,$F$4:$H$979,1,0),0)</f>
        <v>0</v>
      </c>
    </row>
    <row r="922" spans="3:3" x14ac:dyDescent="0.3">
      <c r="C922" s="11">
        <f>IFERROR(VLOOKUP(A922,$F$4:$H$979,1,0),0)</f>
        <v>0</v>
      </c>
    </row>
    <row r="923" spans="3:3" x14ac:dyDescent="0.3">
      <c r="C923" s="11">
        <f>IFERROR(VLOOKUP(A923,$F$4:$H$979,1,0),0)</f>
        <v>0</v>
      </c>
    </row>
    <row r="924" spans="3:3" x14ac:dyDescent="0.3">
      <c r="C924" s="11">
        <f>IFERROR(VLOOKUP(A924,$F$4:$H$979,1,0),0)</f>
        <v>0</v>
      </c>
    </row>
    <row r="925" spans="3:3" x14ac:dyDescent="0.3">
      <c r="C925" s="11">
        <f>IFERROR(VLOOKUP(A925,$F$4:$H$979,1,0),0)</f>
        <v>0</v>
      </c>
    </row>
    <row r="926" spans="3:3" x14ac:dyDescent="0.3">
      <c r="C926" s="11">
        <f>IFERROR(VLOOKUP(A926,$F$4:$H$979,1,0),0)</f>
        <v>0</v>
      </c>
    </row>
    <row r="927" spans="3:3" x14ac:dyDescent="0.3">
      <c r="C927" s="11">
        <f>IFERROR(VLOOKUP(A927,$F$4:$H$979,1,0),0)</f>
        <v>0</v>
      </c>
    </row>
    <row r="928" spans="3:3" x14ac:dyDescent="0.3">
      <c r="C928" s="11">
        <f>IFERROR(VLOOKUP(A928,$F$4:$H$979,1,0),0)</f>
        <v>0</v>
      </c>
    </row>
    <row r="929" spans="3:3" x14ac:dyDescent="0.3">
      <c r="C929" s="11">
        <f>IFERROR(VLOOKUP(A929,$F$4:$H$979,1,0),0)</f>
        <v>0</v>
      </c>
    </row>
    <row r="930" spans="3:3" x14ac:dyDescent="0.3">
      <c r="C930" s="11">
        <f>IFERROR(VLOOKUP(A930,$F$4:$H$979,1,0),0)</f>
        <v>0</v>
      </c>
    </row>
    <row r="931" spans="3:3" x14ac:dyDescent="0.3">
      <c r="C931" s="11">
        <f>IFERROR(VLOOKUP(A931,$F$4:$H$979,1,0),0)</f>
        <v>0</v>
      </c>
    </row>
    <row r="932" spans="3:3" x14ac:dyDescent="0.3">
      <c r="C932" s="11">
        <f>IFERROR(VLOOKUP(A932,$F$4:$H$979,1,0),0)</f>
        <v>0</v>
      </c>
    </row>
    <row r="933" spans="3:3" x14ac:dyDescent="0.3">
      <c r="C933" s="11">
        <f>IFERROR(VLOOKUP(A933,$F$4:$H$979,1,0),0)</f>
        <v>0</v>
      </c>
    </row>
    <row r="934" spans="3:3" x14ac:dyDescent="0.3">
      <c r="C934" s="11">
        <f>IFERROR(VLOOKUP(A934,$F$4:$H$979,1,0),0)</f>
        <v>0</v>
      </c>
    </row>
    <row r="935" spans="3:3" x14ac:dyDescent="0.3">
      <c r="C935" s="11">
        <f>IFERROR(VLOOKUP(A935,$F$4:$H$979,1,0),0)</f>
        <v>0</v>
      </c>
    </row>
    <row r="936" spans="3:3" x14ac:dyDescent="0.3">
      <c r="C936" s="11">
        <f>IFERROR(VLOOKUP(A936,$F$4:$H$979,1,0),0)</f>
        <v>0</v>
      </c>
    </row>
    <row r="937" spans="3:3" x14ac:dyDescent="0.3">
      <c r="C937" s="11">
        <f>IFERROR(VLOOKUP(A937,$F$4:$H$979,1,0),0)</f>
        <v>0</v>
      </c>
    </row>
    <row r="938" spans="3:3" x14ac:dyDescent="0.3">
      <c r="C938" s="11">
        <f>IFERROR(VLOOKUP(A938,$F$4:$H$979,1,0),0)</f>
        <v>0</v>
      </c>
    </row>
    <row r="939" spans="3:3" x14ac:dyDescent="0.3">
      <c r="C939" s="11">
        <f>IFERROR(VLOOKUP(A939,$F$4:$H$979,1,0),0)</f>
        <v>0</v>
      </c>
    </row>
    <row r="940" spans="3:3" x14ac:dyDescent="0.3">
      <c r="C940" s="11">
        <f>IFERROR(VLOOKUP(A940,$F$4:$H$979,1,0),0)</f>
        <v>0</v>
      </c>
    </row>
    <row r="941" spans="3:3" x14ac:dyDescent="0.3">
      <c r="C941" s="11">
        <f>IFERROR(VLOOKUP(A941,$F$4:$H$979,1,0),0)</f>
        <v>0</v>
      </c>
    </row>
    <row r="942" spans="3:3" x14ac:dyDescent="0.3">
      <c r="C942" s="11">
        <f>IFERROR(VLOOKUP(A942,$F$4:$H$979,1,0),0)</f>
        <v>0</v>
      </c>
    </row>
    <row r="943" spans="3:3" x14ac:dyDescent="0.3">
      <c r="C943" s="11">
        <f>IFERROR(VLOOKUP(A943,$F$4:$H$979,1,0),0)</f>
        <v>0</v>
      </c>
    </row>
    <row r="944" spans="3:3" x14ac:dyDescent="0.3">
      <c r="C944" s="11">
        <f>IFERROR(VLOOKUP(A944,$F$4:$H$979,1,0),0)</f>
        <v>0</v>
      </c>
    </row>
    <row r="945" spans="3:3" x14ac:dyDescent="0.3">
      <c r="C945" s="11">
        <f>IFERROR(VLOOKUP(A945,$F$4:$H$979,1,0),0)</f>
        <v>0</v>
      </c>
    </row>
    <row r="946" spans="3:3" x14ac:dyDescent="0.3">
      <c r="C946" s="11">
        <f>IFERROR(VLOOKUP(A946,$F$4:$H$979,1,0),0)</f>
        <v>0</v>
      </c>
    </row>
    <row r="947" spans="3:3" x14ac:dyDescent="0.3">
      <c r="C947" s="11">
        <f>IFERROR(VLOOKUP(A947,$F$4:$H$979,1,0),0)</f>
        <v>0</v>
      </c>
    </row>
    <row r="948" spans="3:3" x14ac:dyDescent="0.3">
      <c r="C948" s="11">
        <f>IFERROR(VLOOKUP(A948,$F$4:$H$979,1,0),0)</f>
        <v>0</v>
      </c>
    </row>
    <row r="949" spans="3:3" x14ac:dyDescent="0.3">
      <c r="C949" s="11">
        <f>IFERROR(VLOOKUP(A949,$F$4:$H$979,1,0),0)</f>
        <v>0</v>
      </c>
    </row>
    <row r="950" spans="3:3" x14ac:dyDescent="0.3">
      <c r="C950" s="11">
        <f>IFERROR(VLOOKUP(A950,$F$4:$H$979,1,0),0)</f>
        <v>0</v>
      </c>
    </row>
    <row r="951" spans="3:3" x14ac:dyDescent="0.3">
      <c r="C951" s="11">
        <f>IFERROR(VLOOKUP(A951,$F$4:$H$979,1,0),0)</f>
        <v>0</v>
      </c>
    </row>
    <row r="952" spans="3:3" x14ac:dyDescent="0.3">
      <c r="C952" s="11">
        <f>IFERROR(VLOOKUP(A952,$F$4:$H$979,1,0),0)</f>
        <v>0</v>
      </c>
    </row>
    <row r="953" spans="3:3" x14ac:dyDescent="0.3">
      <c r="C953" s="11">
        <f>IFERROR(VLOOKUP(A953,$F$4:$H$979,1,0),0)</f>
        <v>0</v>
      </c>
    </row>
    <row r="954" spans="3:3" x14ac:dyDescent="0.3">
      <c r="C954" s="11">
        <f>IFERROR(VLOOKUP(A954,$F$4:$H$979,1,0),0)</f>
        <v>0</v>
      </c>
    </row>
    <row r="955" spans="3:3" x14ac:dyDescent="0.3">
      <c r="C955" s="11">
        <f>IFERROR(VLOOKUP(A955,$F$4:$H$979,1,0),0)</f>
        <v>0</v>
      </c>
    </row>
    <row r="956" spans="3:3" x14ac:dyDescent="0.3">
      <c r="C956" s="11">
        <f>IFERROR(VLOOKUP(A956,$F$4:$H$979,1,0),0)</f>
        <v>0</v>
      </c>
    </row>
    <row r="957" spans="3:3" x14ac:dyDescent="0.3">
      <c r="C957" s="11">
        <f>IFERROR(VLOOKUP(A957,$F$4:$H$979,1,0),0)</f>
        <v>0</v>
      </c>
    </row>
    <row r="958" spans="3:3" x14ac:dyDescent="0.3">
      <c r="C958" s="11">
        <f>IFERROR(VLOOKUP(A958,$F$4:$H$979,1,0),0)</f>
        <v>0</v>
      </c>
    </row>
    <row r="959" spans="3:3" x14ac:dyDescent="0.3">
      <c r="C959" s="11">
        <f>IFERROR(VLOOKUP(A959,$F$4:$H$979,1,0),0)</f>
        <v>0</v>
      </c>
    </row>
    <row r="960" spans="3:3" x14ac:dyDescent="0.3">
      <c r="C960" s="11">
        <f>IFERROR(VLOOKUP(A960,$F$4:$H$979,1,0),0)</f>
        <v>0</v>
      </c>
    </row>
    <row r="961" spans="3:3" x14ac:dyDescent="0.3">
      <c r="C961" s="11">
        <f>IFERROR(VLOOKUP(A961,$F$4:$H$979,1,0),0)</f>
        <v>0</v>
      </c>
    </row>
    <row r="962" spans="3:3" x14ac:dyDescent="0.3">
      <c r="C962" s="11">
        <f>IFERROR(VLOOKUP(A962,$F$4:$H$979,1,0),0)</f>
        <v>0</v>
      </c>
    </row>
    <row r="963" spans="3:3" x14ac:dyDescent="0.3">
      <c r="C963" s="11">
        <f>IFERROR(VLOOKUP(A963,$F$4:$H$979,1,0),0)</f>
        <v>0</v>
      </c>
    </row>
    <row r="964" spans="3:3" x14ac:dyDescent="0.3">
      <c r="C964" s="11">
        <f>IFERROR(VLOOKUP(A964,$F$4:$H$979,1,0),0)</f>
        <v>0</v>
      </c>
    </row>
    <row r="965" spans="3:3" x14ac:dyDescent="0.3">
      <c r="C965" s="11">
        <f>IFERROR(VLOOKUP(A965,$F$4:$H$979,1,0),0)</f>
        <v>0</v>
      </c>
    </row>
    <row r="966" spans="3:3" x14ac:dyDescent="0.3">
      <c r="C966" s="11">
        <f>IFERROR(VLOOKUP(A966,$F$4:$H$979,1,0),0)</f>
        <v>0</v>
      </c>
    </row>
    <row r="967" spans="3:3" x14ac:dyDescent="0.3">
      <c r="C967" s="11">
        <f>IFERROR(VLOOKUP(A967,$F$4:$H$979,1,0),0)</f>
        <v>0</v>
      </c>
    </row>
    <row r="968" spans="3:3" x14ac:dyDescent="0.3">
      <c r="C968" s="11">
        <f>IFERROR(VLOOKUP(A968,$F$4:$H$979,1,0),0)</f>
        <v>0</v>
      </c>
    </row>
    <row r="969" spans="3:3" x14ac:dyDescent="0.3">
      <c r="C969" s="11">
        <f>IFERROR(VLOOKUP(A969,$F$4:$H$979,1,0),0)</f>
        <v>0</v>
      </c>
    </row>
    <row r="970" spans="3:3" x14ac:dyDescent="0.3">
      <c r="C970" s="11">
        <f>IFERROR(VLOOKUP(A970,$F$4:$H$979,1,0),0)</f>
        <v>0</v>
      </c>
    </row>
    <row r="971" spans="3:3" x14ac:dyDescent="0.3">
      <c r="C971" s="11">
        <f>IFERROR(VLOOKUP(A971,$F$4:$H$979,1,0),0)</f>
        <v>0</v>
      </c>
    </row>
    <row r="972" spans="3:3" x14ac:dyDescent="0.3">
      <c r="C972" s="11">
        <f>IFERROR(VLOOKUP(A972,$F$4:$H$979,1,0),0)</f>
        <v>0</v>
      </c>
    </row>
    <row r="973" spans="3:3" x14ac:dyDescent="0.3">
      <c r="C973" s="11">
        <f>IFERROR(VLOOKUP(A973,$F$4:$H$979,1,0),0)</f>
        <v>0</v>
      </c>
    </row>
    <row r="974" spans="3:3" x14ac:dyDescent="0.3">
      <c r="C974" s="11">
        <f>IFERROR(VLOOKUP(A974,$F$4:$H$979,1,0),0)</f>
        <v>0</v>
      </c>
    </row>
    <row r="975" spans="3:3" x14ac:dyDescent="0.3">
      <c r="C975" s="11">
        <f>IFERROR(VLOOKUP(A975,$F$4:$H$979,1,0),0)</f>
        <v>0</v>
      </c>
    </row>
    <row r="976" spans="3:3" x14ac:dyDescent="0.3">
      <c r="C976" s="11">
        <f>IFERROR(VLOOKUP(A976,$F$4:$H$979,1,0),0)</f>
        <v>0</v>
      </c>
    </row>
    <row r="977" spans="3:3" x14ac:dyDescent="0.3">
      <c r="C977" s="11">
        <f>IFERROR(VLOOKUP(A977,$F$4:$H$979,1,0),0)</f>
        <v>0</v>
      </c>
    </row>
    <row r="978" spans="3:3" x14ac:dyDescent="0.3">
      <c r="C978" s="11">
        <f>IFERROR(VLOOKUP(A978,$F$4:$H$979,1,0),0)</f>
        <v>0</v>
      </c>
    </row>
    <row r="979" spans="3:3" x14ac:dyDescent="0.3">
      <c r="C979" s="11">
        <f>IFERROR(VLOOKUP(A979,$F$4:$H$979,1,0),0)</f>
        <v>0</v>
      </c>
    </row>
    <row r="980" spans="3:3" x14ac:dyDescent="0.3">
      <c r="C980" s="11">
        <f>IFERROR(VLOOKUP(A980,$F$4:$H$979,1,0),0)</f>
        <v>0</v>
      </c>
    </row>
    <row r="981" spans="3:3" x14ac:dyDescent="0.3">
      <c r="C981" s="11">
        <f>IFERROR(VLOOKUP(A981,$F$4:$H$979,1,0),0)</f>
        <v>0</v>
      </c>
    </row>
    <row r="982" spans="3:3" x14ac:dyDescent="0.3">
      <c r="C982" s="11">
        <f>IFERROR(VLOOKUP(A982,$F$4:$H$979,1,0),0)</f>
        <v>0</v>
      </c>
    </row>
    <row r="983" spans="3:3" x14ac:dyDescent="0.3">
      <c r="C983" s="11">
        <f>IFERROR(VLOOKUP(A983,$F$4:$H$979,1,0),0)</f>
        <v>0</v>
      </c>
    </row>
    <row r="984" spans="3:3" x14ac:dyDescent="0.3">
      <c r="C984" s="11">
        <f>IFERROR(VLOOKUP(A984,$F$4:$H$979,1,0),0)</f>
        <v>0</v>
      </c>
    </row>
    <row r="985" spans="3:3" x14ac:dyDescent="0.3">
      <c r="C985" s="11">
        <f>IFERROR(VLOOKUP(A985,$F$4:$H$979,1,0),0)</f>
        <v>0</v>
      </c>
    </row>
    <row r="986" spans="3:3" x14ac:dyDescent="0.3">
      <c r="C986" s="11">
        <f>IFERROR(VLOOKUP(A986,$F$4:$H$979,1,0),0)</f>
        <v>0</v>
      </c>
    </row>
    <row r="987" spans="3:3" x14ac:dyDescent="0.3">
      <c r="C987" s="11">
        <f>IFERROR(VLOOKUP(A987,$F$4:$H$979,1,0),0)</f>
        <v>0</v>
      </c>
    </row>
    <row r="988" spans="3:3" x14ac:dyDescent="0.3">
      <c r="C988" s="11">
        <f>IFERROR(VLOOKUP(A988,$F$4:$H$979,1,0),0)</f>
        <v>0</v>
      </c>
    </row>
  </sheetData>
  <mergeCells count="2">
    <mergeCell ref="A1:B1"/>
    <mergeCell ref="F1:I1"/>
  </mergeCells>
  <phoneticPr fontId="1" type="noConversion"/>
  <conditionalFormatting sqref="I4:I469">
    <cfRule type="containsText" dxfId="0" priority="1" operator="containsText" text="Sin direccion">
      <formula>NOT(ISERROR(SEARCH("Sin direccion",I4)))</formula>
    </cfRule>
  </conditionalFormatting>
  <hyperlinks>
    <hyperlink ref="F1:H1" r:id="rId1" display="Tabla 2 Actual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Macro1">
                <anchor moveWithCells="1" sizeWithCells="1">
                  <from>
                    <xdr:col>2</xdr:col>
                    <xdr:colOff>15240</xdr:colOff>
                    <xdr:row>1</xdr:row>
                    <xdr:rowOff>0</xdr:rowOff>
                  </from>
                  <to>
                    <xdr:col>4</xdr:col>
                    <xdr:colOff>1066800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Barrios!$A$2:$A$16</xm:f>
          </x14:formula1>
          <xm:sqref>I4:I375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379"/>
  <sheetViews>
    <sheetView zoomScale="90" zoomScaleNormal="90" workbookViewId="0">
      <selection activeCell="I12" sqref="I12"/>
    </sheetView>
    <sheetView workbookViewId="1"/>
  </sheetViews>
  <sheetFormatPr baseColWidth="10" defaultRowHeight="14.4" x14ac:dyDescent="0.3"/>
  <cols>
    <col min="1" max="1" width="9.33203125" style="19" customWidth="1"/>
    <col min="2" max="2" width="21.21875" style="20" customWidth="1"/>
    <col min="3" max="3" width="23.44140625" style="18" customWidth="1"/>
    <col min="4" max="5" width="23.21875" style="19" customWidth="1"/>
    <col min="6" max="6" width="20.44140625" style="20" customWidth="1"/>
    <col min="7" max="7" width="10" style="19" customWidth="1"/>
    <col min="8" max="8" width="9.44140625" style="19" customWidth="1"/>
    <col min="9" max="11" width="10.5546875" style="19" customWidth="1"/>
    <col min="12" max="12" width="5.77734375" style="19" customWidth="1"/>
  </cols>
  <sheetData>
    <row r="1" spans="1:12" s="16" customFormat="1" ht="18" x14ac:dyDescent="0.35">
      <c r="A1" s="17" t="s">
        <v>1270</v>
      </c>
      <c r="B1" s="17" t="str">
        <f>+Tabla3[[#Headers],[nombre]]</f>
        <v>nombre</v>
      </c>
      <c r="C1" s="17" t="str">
        <f>+Tabla3[[#Headers],[celular]]</f>
        <v>celular</v>
      </c>
      <c r="D1" s="17" t="s">
        <v>1273</v>
      </c>
      <c r="E1" s="17" t="s">
        <v>1274</v>
      </c>
      <c r="F1" s="27" t="s">
        <v>1275</v>
      </c>
      <c r="G1" s="17" t="s">
        <v>1276</v>
      </c>
      <c r="H1" s="17" t="s">
        <v>1277</v>
      </c>
      <c r="I1" s="17" t="s">
        <v>1278</v>
      </c>
      <c r="J1" s="17" t="s">
        <v>1279</v>
      </c>
      <c r="K1" s="17" t="s">
        <v>1280</v>
      </c>
      <c r="L1" s="17" t="s">
        <v>1281</v>
      </c>
    </row>
    <row r="2" spans="1:12" x14ac:dyDescent="0.3">
      <c r="A2" s="19" t="s">
        <v>616</v>
      </c>
      <c r="B2" s="20" t="e">
        <f>IF(ISBLANK('Contactos Agua Celica'!#REF!),"",'Contactos Agua Celica'!#REF!)</f>
        <v>#REF!</v>
      </c>
      <c r="C2" s="18" t="e">
        <f>IF(ISBLANK('Contactos Agua Celica'!#REF!),"",'Contactos Agua Celica'!#REF!)</f>
        <v>#REF!</v>
      </c>
      <c r="D2" s="19" t="e">
        <f>IF(ISBLANK('Contactos Agua Celica'!#REF!),"",MID('Contactos Agua Celica'!#REF!,1,FIND(",",'Contactos Agua Celica'!#REF!,1)-1))</f>
        <v>#REF!</v>
      </c>
      <c r="E2" s="19" t="e">
        <f>IF(ISBLANK('Contactos Agua Celica'!#REF!),"",MID('Contactos Agua Celica'!#REF!,FIND(",",'Contactos Agua Celica'!#REF!,1)+1,LEN('Contactos Agua Celica'!#REF!)))</f>
        <v>#REF!</v>
      </c>
      <c r="F2" s="11" t="s">
        <v>1253</v>
      </c>
      <c r="G2" s="19" t="str">
        <f>IF(ISBLANK('Contactos Agua Celica'!#REF!)," ","false")</f>
        <v>false</v>
      </c>
      <c r="H2" s="19" t="str">
        <f>IF(ISBLANK('Contactos Agua Celica'!#REF!)," ","0")</f>
        <v>0</v>
      </c>
      <c r="I2" s="19" t="str">
        <f>IF(ISBLANK('Contactos Agua Celica'!#REF!)," ","0")</f>
        <v>0</v>
      </c>
    </row>
    <row r="3" spans="1:12" x14ac:dyDescent="0.3">
      <c r="A3" s="19" t="s">
        <v>617</v>
      </c>
      <c r="B3" s="20" t="e">
        <f>IF(ISBLANK('Contactos Agua Celica'!#REF!),"",'Contactos Agua Celica'!#REF!)</f>
        <v>#REF!</v>
      </c>
      <c r="C3" s="18" t="e">
        <f>IF(ISBLANK('Contactos Agua Celica'!#REF!),"",'Contactos Agua Celica'!#REF!)</f>
        <v>#REF!</v>
      </c>
      <c r="D3" s="19" t="e">
        <f>IF(ISBLANK('Contactos Agua Celica'!#REF!),"",MID('Contactos Agua Celica'!#REF!,1,FIND(",",'Contactos Agua Celica'!#REF!,1)-1))</f>
        <v>#REF!</v>
      </c>
      <c r="E3" s="19" t="e">
        <f>IF(ISBLANK('Contactos Agua Celica'!#REF!),"",MID('Contactos Agua Celica'!#REF!,FIND(",",'Contactos Agua Celica'!#REF!,1)+1,LEN('Contactos Agua Celica'!#REF!)))</f>
        <v>#REF!</v>
      </c>
      <c r="F3" s="11" t="s">
        <v>1255</v>
      </c>
      <c r="G3" s="19" t="str">
        <f>IF(ISBLANK('Contactos Agua Celica'!#REF!)," ","false")</f>
        <v>false</v>
      </c>
      <c r="H3" s="19" t="str">
        <f>IF(ISBLANK('Contactos Agua Celica'!#REF!)," ","0")</f>
        <v>0</v>
      </c>
      <c r="I3" s="19" t="str">
        <f>IF(ISBLANK('Contactos Agua Celica'!#REF!)," ","0")</f>
        <v>0</v>
      </c>
    </row>
    <row r="4" spans="1:12" x14ac:dyDescent="0.3">
      <c r="A4" s="19" t="s">
        <v>618</v>
      </c>
      <c r="B4" s="20" t="str">
        <f>IF(ISBLANK('Contactos Agua Celica'!F4),"",'Contactos Agua Celica'!F4)</f>
        <v xml:space="preserve">5to B Milenio </v>
      </c>
      <c r="C4" s="18" t="str">
        <f>IF(ISBLANK('Contactos Agua Celica'!G4),"",'Contactos Agua Celica'!G4)</f>
        <v>+593 98 468 9682</v>
      </c>
      <c r="D4" s="19" t="str">
        <f>IF(ISBLANK('Contactos Agua Celica'!H4),"",MID('Contactos Agua Celica'!H4,1,FIND(",",'Contactos Agua Celica'!H4,1)-1))</f>
        <v/>
      </c>
      <c r="E4" s="19" t="str">
        <f>IF(ISBLANK('Contactos Agua Celica'!H4),"",MID('Contactos Agua Celica'!H4,FIND(",",'Contactos Agua Celica'!H4,1)+1,LEN('Contactos Agua Celica'!H4)))</f>
        <v/>
      </c>
      <c r="F4" s="11" t="s">
        <v>1260</v>
      </c>
      <c r="G4" s="19" t="str">
        <f>IF(ISBLANK('Contactos Agua Celica'!F4)," ","false")</f>
        <v>false</v>
      </c>
      <c r="H4" s="19" t="str">
        <f>IF(ISBLANK('Contactos Agua Celica'!F4)," ","0")</f>
        <v>0</v>
      </c>
      <c r="I4" s="19" t="str">
        <f>IF(ISBLANK('Contactos Agua Celica'!F4)," ","0")</f>
        <v>0</v>
      </c>
    </row>
    <row r="5" spans="1:12" x14ac:dyDescent="0.3">
      <c r="A5" s="19" t="s">
        <v>619</v>
      </c>
      <c r="B5" s="20" t="str">
        <f>IF(ISBLANK('Contactos Agua Celica'!F5),"",'Contactos Agua Celica'!F5)</f>
        <v>Abogado Calderón</v>
      </c>
      <c r="C5" s="18" t="str">
        <f>IF(ISBLANK('Contactos Agua Celica'!G5),"",'Contactos Agua Celica'!G5)</f>
        <v>098 821 7105</v>
      </c>
      <c r="D5" s="19" t="str">
        <f>IF(ISBLANK('Contactos Agua Celica'!H5),"",MID('Contactos Agua Celica'!H5,1,FIND(",",'Contactos Agua Celica'!H5,1)-1))</f>
        <v>-4.103536519248756</v>
      </c>
      <c r="E5" s="19" t="str">
        <f>IF(ISBLANK('Contactos Agua Celica'!H5),"",MID('Contactos Agua Celica'!H5,FIND(",",'Contactos Agua Celica'!H5,1)+1,LEN('Contactos Agua Celica'!H5)))</f>
        <v xml:space="preserve"> -79.95726242144492</v>
      </c>
      <c r="F5" s="11" t="s">
        <v>1254</v>
      </c>
      <c r="G5" s="19" t="str">
        <f>IF(ISBLANK('Contactos Agua Celica'!F5)," ","false")</f>
        <v>false</v>
      </c>
      <c r="H5" s="19" t="str">
        <f>IF(ISBLANK('Contactos Agua Celica'!F5)," ","0")</f>
        <v>0</v>
      </c>
      <c r="I5" s="19" t="str">
        <f>IF(ISBLANK('Contactos Agua Celica'!F5)," ","0")</f>
        <v>0</v>
      </c>
    </row>
    <row r="6" spans="1:12" x14ac:dyDescent="0.3">
      <c r="A6" s="19" t="s">
        <v>620</v>
      </c>
      <c r="B6" s="20" t="str">
        <f>IF(ISBLANK('Contactos Agua Celica'!F6),"",'Contactos Agua Celica'!F6)</f>
        <v>Adri   Orbe</v>
      </c>
      <c r="C6" s="18" t="str">
        <f>IF(ISBLANK('Contactos Agua Celica'!G6),"",'Contactos Agua Celica'!G6)</f>
        <v>+593 99 136 1415</v>
      </c>
      <c r="D6" s="19" t="str">
        <f>IF(ISBLANK('Contactos Agua Celica'!H6),"",MID('Contactos Agua Celica'!H6,1,FIND(",",'Contactos Agua Celica'!H6,1)-1))</f>
        <v>-4.104260119045553</v>
      </c>
      <c r="E6" s="19" t="str">
        <f>IF(ISBLANK('Contactos Agua Celica'!H6),"",MID('Contactos Agua Celica'!H6,FIND(",",'Contactos Agua Celica'!H6,1)+1,LEN('Contactos Agua Celica'!H6)))</f>
        <v xml:space="preserve"> -79.95477663177594</v>
      </c>
      <c r="F6" s="11" t="s">
        <v>1267</v>
      </c>
      <c r="G6" s="19" t="str">
        <f>IF(ISBLANK('Contactos Agua Celica'!F6)," ","false")</f>
        <v>false</v>
      </c>
      <c r="H6" s="19" t="str">
        <f>IF(ISBLANK('Contactos Agua Celica'!F6)," ","0")</f>
        <v>0</v>
      </c>
      <c r="I6" s="19" t="str">
        <f>IF(ISBLANK('Contactos Agua Celica'!F6)," ","0")</f>
        <v>0</v>
      </c>
    </row>
    <row r="7" spans="1:12" x14ac:dyDescent="0.3">
      <c r="A7" s="19" t="s">
        <v>621</v>
      </c>
      <c r="B7" s="20" t="e">
        <f>IF(ISBLANK('Contactos Agua Celica'!#REF!),"",'Contactos Agua Celica'!#REF!)</f>
        <v>#REF!</v>
      </c>
      <c r="C7" s="18" t="e">
        <f>IF(ISBLANK('Contactos Agua Celica'!#REF!),"",'Contactos Agua Celica'!#REF!)</f>
        <v>#REF!</v>
      </c>
      <c r="D7" s="19" t="e">
        <f>IF(ISBLANK('Contactos Agua Celica'!#REF!),"",MID('Contactos Agua Celica'!#REF!,1,FIND(",",'Contactos Agua Celica'!#REF!,1)-1))</f>
        <v>#REF!</v>
      </c>
      <c r="E7" s="19" t="e">
        <f>IF(ISBLANK('Contactos Agua Celica'!#REF!),"",MID('Contactos Agua Celica'!#REF!,FIND(",",'Contactos Agua Celica'!#REF!,1)+1,LEN('Contactos Agua Celica'!#REF!)))</f>
        <v>#REF!</v>
      </c>
      <c r="F7" s="11" t="s">
        <v>1267</v>
      </c>
      <c r="G7" s="19" t="str">
        <f>IF(ISBLANK('Contactos Agua Celica'!#REF!)," ","false")</f>
        <v>false</v>
      </c>
      <c r="H7" s="19" t="str">
        <f>IF(ISBLANK('Contactos Agua Celica'!#REF!)," ","0")</f>
        <v>0</v>
      </c>
      <c r="I7" s="19" t="str">
        <f>IF(ISBLANK('Contactos Agua Celica'!#REF!)," ","0")</f>
        <v>0</v>
      </c>
    </row>
    <row r="8" spans="1:12" x14ac:dyDescent="0.3">
      <c r="A8" s="19" t="s">
        <v>622</v>
      </c>
      <c r="B8" s="20" t="str">
        <f>IF(ISBLANK('Contactos Agua Celica'!F7),"",'Contactos Agua Celica'!F7)</f>
        <v>Adriana Cárdenas</v>
      </c>
      <c r="C8" s="18" t="str">
        <f>IF(ISBLANK('Contactos Agua Celica'!G7),"",'Contactos Agua Celica'!G7)</f>
        <v>+593 96 891 1301</v>
      </c>
      <c r="D8" s="19" t="str">
        <f>IF(ISBLANK('Contactos Agua Celica'!H7),"",MID('Contactos Agua Celica'!H7,1,FIND(",",'Contactos Agua Celica'!H7,1)-1))</f>
        <v/>
      </c>
      <c r="E8" s="19" t="str">
        <f>IF(ISBLANK('Contactos Agua Celica'!H7),"",MID('Contactos Agua Celica'!H7,FIND(",",'Contactos Agua Celica'!H7,1)+1,LEN('Contactos Agua Celica'!H7)))</f>
        <v/>
      </c>
      <c r="F8" s="11" t="s">
        <v>1256</v>
      </c>
      <c r="G8" s="19" t="str">
        <f>IF(ISBLANK('Contactos Agua Celica'!F7)," ","false")</f>
        <v>false</v>
      </c>
      <c r="H8" s="19" t="str">
        <f>IF(ISBLANK('Contactos Agua Celica'!F7)," ","0")</f>
        <v>0</v>
      </c>
      <c r="I8" s="19" t="str">
        <f>IF(ISBLANK('Contactos Agua Celica'!F7)," ","0")</f>
        <v>0</v>
      </c>
    </row>
    <row r="9" spans="1:12" x14ac:dyDescent="0.3">
      <c r="A9" s="19" t="s">
        <v>623</v>
      </c>
      <c r="B9" s="20" t="str">
        <f>IF(ISBLANK('Contactos Agua Celica'!F8),"",'Contactos Agua Celica'!F8)</f>
        <v>After</v>
      </c>
      <c r="C9" s="18" t="str">
        <f>IF(ISBLANK('Contactos Agua Celica'!G8),"",'Contactos Agua Celica'!G8)</f>
        <v>+593 96 817 5069</v>
      </c>
      <c r="D9" s="19" t="str">
        <f>IF(ISBLANK('Contactos Agua Celica'!H8),"",MID('Contactos Agua Celica'!H8,1,FIND(",",'Contactos Agua Celica'!H8,1)-1))</f>
        <v/>
      </c>
      <c r="E9" s="19" t="str">
        <f>IF(ISBLANK('Contactos Agua Celica'!H8),"",MID('Contactos Agua Celica'!H8,FIND(",",'Contactos Agua Celica'!H8,1)+1,LEN('Contactos Agua Celica'!H8)))</f>
        <v/>
      </c>
      <c r="F9" s="11" t="s">
        <v>1256</v>
      </c>
      <c r="G9" s="19" t="str">
        <f>IF(ISBLANK('Contactos Agua Celica'!F8)," ","false")</f>
        <v>false</v>
      </c>
      <c r="H9" s="19" t="str">
        <f>IF(ISBLANK('Contactos Agua Celica'!F8)," ","0")</f>
        <v>0</v>
      </c>
      <c r="I9" s="19" t="str">
        <f>IF(ISBLANK('Contactos Agua Celica'!F8)," ","0")</f>
        <v>0</v>
      </c>
    </row>
    <row r="10" spans="1:12" x14ac:dyDescent="0.3">
      <c r="A10" s="19" t="s">
        <v>624</v>
      </c>
      <c r="B10" s="20" t="str">
        <f>IF(ISBLANK('Contactos Agua Celica'!F9),"",'Contactos Agua Celica'!F9)</f>
        <v>Agustín Cárdenas</v>
      </c>
      <c r="C10" s="18" t="str">
        <f>IF(ISBLANK('Contactos Agua Celica'!G9),"",'Contactos Agua Celica'!G9)</f>
        <v>+593 93 906 2427</v>
      </c>
      <c r="D10" s="19" t="str">
        <f>IF(ISBLANK('Contactos Agua Celica'!H9),"",MID('Contactos Agua Celica'!H9,1,FIND(",",'Contactos Agua Celica'!H9,1)-1))</f>
        <v>-4.11035819553039</v>
      </c>
      <c r="E10" s="19" t="str">
        <f>IF(ISBLANK('Contactos Agua Celica'!H9),"",MID('Contactos Agua Celica'!H9,FIND(",",'Contactos Agua Celica'!H9,1)+1,LEN('Contactos Agua Celica'!H9)))</f>
        <v xml:space="preserve"> -79.95555968876376</v>
      </c>
      <c r="F10" s="11" t="s">
        <v>1267</v>
      </c>
      <c r="G10" s="19" t="str">
        <f>IF(ISBLANK('Contactos Agua Celica'!F9)," ","false")</f>
        <v>false</v>
      </c>
      <c r="H10" s="19" t="str">
        <f>IF(ISBLANK('Contactos Agua Celica'!F9)," ","0")</f>
        <v>0</v>
      </c>
      <c r="I10" s="19" t="str">
        <f>IF(ISBLANK('Contactos Agua Celica'!F9)," ","0")</f>
        <v>0</v>
      </c>
    </row>
    <row r="11" spans="1:12" x14ac:dyDescent="0.3">
      <c r="A11" s="19" t="s">
        <v>625</v>
      </c>
      <c r="B11" s="20" t="str">
        <f>IF(ISBLANK('Contactos Agua Celica'!F10),"",'Contactos Agua Celica'!F10)</f>
        <v>Agustín Sanmartin</v>
      </c>
      <c r="C11" s="18" t="str">
        <f>IF(ISBLANK('Contactos Agua Celica'!G10),"",'Contactos Agua Celica'!G10)</f>
        <v>099 225 4876</v>
      </c>
      <c r="D11" s="19" t="str">
        <f>IF(ISBLANK('Contactos Agua Celica'!H10),"",MID('Contactos Agua Celica'!H10,1,FIND(",",'Contactos Agua Celica'!H10,1)-1))</f>
        <v>-4.103481601020053</v>
      </c>
      <c r="E11" s="19" t="str">
        <f>IF(ISBLANK('Contactos Agua Celica'!H10),"",MID('Contactos Agua Celica'!H10,FIND(",",'Contactos Agua Celica'!H10,1)+1,LEN('Contactos Agua Celica'!H10)))</f>
        <v xml:space="preserve"> -79.95337204250123</v>
      </c>
      <c r="F11" s="11" t="s">
        <v>1267</v>
      </c>
      <c r="G11" s="19" t="str">
        <f>IF(ISBLANK('Contactos Agua Celica'!F10)," ","false")</f>
        <v>false</v>
      </c>
      <c r="H11" s="19" t="str">
        <f>IF(ISBLANK('Contactos Agua Celica'!F10)," ","0")</f>
        <v>0</v>
      </c>
      <c r="I11" s="19" t="str">
        <f>IF(ISBLANK('Contactos Agua Celica'!F10)," ","0")</f>
        <v>0</v>
      </c>
    </row>
    <row r="12" spans="1:12" x14ac:dyDescent="0.3">
      <c r="A12" s="19" t="s">
        <v>626</v>
      </c>
      <c r="B12" s="20" t="str">
        <f>IF(ISBLANK('Contactos Agua Celica'!F11),"",'Contactos Agua Celica'!F11)</f>
        <v>Aide Sanchez</v>
      </c>
      <c r="C12" s="18" t="str">
        <f>IF(ISBLANK('Contactos Agua Celica'!G11),"",'Contactos Agua Celica'!G11)</f>
        <v>099 368 9246</v>
      </c>
      <c r="D12" s="19" t="str">
        <f>IF(ISBLANK('Contactos Agua Celica'!H11),"",MID('Contactos Agua Celica'!H11,1,FIND(",",'Contactos Agua Celica'!H11,1)-1))</f>
        <v>-4.10324350709653</v>
      </c>
      <c r="E12" s="19" t="str">
        <f>IF(ISBLANK('Contactos Agua Celica'!H11),"",MID('Contactos Agua Celica'!H11,FIND(",",'Contactos Agua Celica'!H11,1)+1,LEN('Contactos Agua Celica'!H11)))</f>
        <v xml:space="preserve"> -79.95557487052358</v>
      </c>
      <c r="F12" s="11" t="s">
        <v>1259</v>
      </c>
      <c r="G12" s="19" t="str">
        <f>IF(ISBLANK('Contactos Agua Celica'!F11)," ","false")</f>
        <v>false</v>
      </c>
      <c r="H12" s="19" t="str">
        <f>IF(ISBLANK('Contactos Agua Celica'!F11)," ","0")</f>
        <v>0</v>
      </c>
      <c r="I12" s="19" t="str">
        <f>IF(ISBLANK('Contactos Agua Celica'!F11)," ","0")</f>
        <v>0</v>
      </c>
    </row>
    <row r="13" spans="1:12" x14ac:dyDescent="0.3">
      <c r="A13" s="19" t="s">
        <v>627</v>
      </c>
      <c r="B13" s="20" t="str">
        <f>IF(ISBLANK('Contactos Agua Celica'!F12),"",'Contactos Agua Celica'!F12)</f>
        <v>Alan G</v>
      </c>
      <c r="C13" s="18" t="str">
        <f>IF(ISBLANK('Contactos Agua Celica'!G12),"",'Contactos Agua Celica'!G12)</f>
        <v>+593 96 741 0763</v>
      </c>
      <c r="D13" s="19" t="str">
        <f>IF(ISBLANK('Contactos Agua Celica'!H12),"",MID('Contactos Agua Celica'!H12,1,FIND(",",'Contactos Agua Celica'!H12,1)-1))</f>
        <v>-4.1034236599970395</v>
      </c>
      <c r="E13" s="19" t="str">
        <f>IF(ISBLANK('Contactos Agua Celica'!H12),"",MID('Contactos Agua Celica'!H12,FIND(",",'Contactos Agua Celica'!H12,1)+1,LEN('Contactos Agua Celica'!H12)))</f>
        <v xml:space="preserve"> -79.9553846535926</v>
      </c>
      <c r="F13" s="11" t="s">
        <v>1267</v>
      </c>
      <c r="G13" s="19" t="str">
        <f>IF(ISBLANK('Contactos Agua Celica'!F12)," ","false")</f>
        <v>false</v>
      </c>
      <c r="H13" s="19" t="str">
        <f>IF(ISBLANK('Contactos Agua Celica'!F12)," ","0")</f>
        <v>0</v>
      </c>
      <c r="I13" s="19" t="str">
        <f>IF(ISBLANK('Contactos Agua Celica'!F12)," ","0")</f>
        <v>0</v>
      </c>
    </row>
    <row r="14" spans="1:12" x14ac:dyDescent="0.3">
      <c r="A14" s="19" t="s">
        <v>628</v>
      </c>
      <c r="B14" s="20" t="e">
        <f>IF(ISBLANK('Contactos Agua Celica'!#REF!),"",'Contactos Agua Celica'!#REF!)</f>
        <v>#REF!</v>
      </c>
      <c r="C14" s="18" t="e">
        <f>IF(ISBLANK('Contactos Agua Celica'!#REF!),"",'Contactos Agua Celica'!#REF!)</f>
        <v>#REF!</v>
      </c>
      <c r="D14" s="19" t="e">
        <f>IF(ISBLANK('Contactos Agua Celica'!#REF!),"",MID('Contactos Agua Celica'!#REF!,1,FIND(",",'Contactos Agua Celica'!#REF!,1)-1))</f>
        <v>#REF!</v>
      </c>
      <c r="E14" s="19" t="e">
        <f>IF(ISBLANK('Contactos Agua Celica'!#REF!),"",MID('Contactos Agua Celica'!#REF!,FIND(",",'Contactos Agua Celica'!#REF!,1)+1,LEN('Contactos Agua Celica'!#REF!)))</f>
        <v>#REF!</v>
      </c>
      <c r="F14" s="11" t="s">
        <v>1259</v>
      </c>
      <c r="G14" s="19" t="str">
        <f>IF(ISBLANK('Contactos Agua Celica'!#REF!)," ","false")</f>
        <v>false</v>
      </c>
      <c r="H14" s="19" t="str">
        <f>IF(ISBLANK('Contactos Agua Celica'!#REF!)," ","0")</f>
        <v>0</v>
      </c>
      <c r="I14" s="19" t="str">
        <f>IF(ISBLANK('Contactos Agua Celica'!#REF!)," ","0")</f>
        <v>0</v>
      </c>
    </row>
    <row r="15" spans="1:12" x14ac:dyDescent="0.3">
      <c r="A15" s="19" t="s">
        <v>629</v>
      </c>
      <c r="B15" s="20" t="str">
        <f>IF(ISBLANK('Contactos Agua Celica'!F13),"",'Contactos Agua Celica'!F13)</f>
        <v>Alcides Buele</v>
      </c>
      <c r="C15" s="18" t="str">
        <f>IF(ISBLANK('Contactos Agua Celica'!G13),"",'Contactos Agua Celica'!G13)</f>
        <v>+593 96 858 6114</v>
      </c>
      <c r="D15" s="19" t="str">
        <f>IF(ISBLANK('Contactos Agua Celica'!H13),"",MID('Contactos Agua Celica'!H13,1,FIND(",",'Contactos Agua Celica'!H13,1)-1))</f>
        <v>-4.10299342650708</v>
      </c>
      <c r="E15" s="19" t="str">
        <f>IF(ISBLANK('Contactos Agua Celica'!H13),"",MID('Contactos Agua Celica'!H13,FIND(",",'Contactos Agua Celica'!H13,1)+1,LEN('Contactos Agua Celica'!H13)))</f>
        <v xml:space="preserve"> -79.95654627164038</v>
      </c>
      <c r="F15" s="11" t="s">
        <v>1267</v>
      </c>
      <c r="G15" s="19" t="str">
        <f>IF(ISBLANK('Contactos Agua Celica'!F13)," ","false")</f>
        <v>false</v>
      </c>
      <c r="H15" s="19" t="str">
        <f>IF(ISBLANK('Contactos Agua Celica'!F13)," ","0")</f>
        <v>0</v>
      </c>
      <c r="I15" s="19" t="str">
        <f>IF(ISBLANK('Contactos Agua Celica'!F13)," ","0")</f>
        <v>0</v>
      </c>
    </row>
    <row r="16" spans="1:12" x14ac:dyDescent="0.3">
      <c r="A16" s="19" t="s">
        <v>630</v>
      </c>
      <c r="B16" s="20" t="str">
        <f>IF(ISBLANK('Contactos Agua Celica'!F14),"",'Contactos Agua Celica'!F14)</f>
        <v>Alex Buele</v>
      </c>
      <c r="C16" s="18" t="str">
        <f>IF(ISBLANK('Contactos Agua Celica'!G14),"",'Contactos Agua Celica'!G14)</f>
        <v>+593 99 149 6897</v>
      </c>
      <c r="D16" s="19" t="str">
        <f>IF(ISBLANK('Contactos Agua Celica'!H14),"",MID('Contactos Agua Celica'!H14,1,FIND(",",'Contactos Agua Celica'!H14,1)-1))</f>
        <v/>
      </c>
      <c r="E16" s="19" t="str">
        <f>IF(ISBLANK('Contactos Agua Celica'!H14),"",MID('Contactos Agua Celica'!H14,FIND(",",'Contactos Agua Celica'!H14,1)+1,LEN('Contactos Agua Celica'!H14)))</f>
        <v/>
      </c>
      <c r="F16" s="11" t="s">
        <v>1267</v>
      </c>
      <c r="G16" s="19" t="str">
        <f>IF(ISBLANK('Contactos Agua Celica'!F14)," ","false")</f>
        <v>false</v>
      </c>
      <c r="H16" s="19" t="str">
        <f>IF(ISBLANK('Contactos Agua Celica'!F14)," ","0")</f>
        <v>0</v>
      </c>
      <c r="I16" s="19" t="str">
        <f>IF(ISBLANK('Contactos Agua Celica'!F14)," ","0")</f>
        <v>0</v>
      </c>
    </row>
    <row r="17" spans="1:9" x14ac:dyDescent="0.3">
      <c r="A17" s="19" t="s">
        <v>631</v>
      </c>
      <c r="B17" s="20" t="str">
        <f>IF(ISBLANK('Contactos Agua Celica'!F15),"",'Contactos Agua Celica'!F15)</f>
        <v>Alex Mora</v>
      </c>
      <c r="C17" s="18" t="str">
        <f>IF(ISBLANK('Contactos Agua Celica'!G15),"",'Contactos Agua Celica'!G15)</f>
        <v>+593 96 013 0120</v>
      </c>
      <c r="D17" s="19" t="str">
        <f>IF(ISBLANK('Contactos Agua Celica'!H15),"",MID('Contactos Agua Celica'!H15,1,FIND(",",'Contactos Agua Celica'!H15,1)-1))</f>
        <v>-4.100418718703744</v>
      </c>
      <c r="E17" s="19" t="str">
        <f>IF(ISBLANK('Contactos Agua Celica'!H15),"",MID('Contactos Agua Celica'!H15,FIND(",",'Contactos Agua Celica'!H15,1)+1,LEN('Contactos Agua Celica'!H15)))</f>
        <v xml:space="preserve"> -79.95732693389192</v>
      </c>
      <c r="F17" s="11" t="s">
        <v>1267</v>
      </c>
      <c r="G17" s="19" t="str">
        <f>IF(ISBLANK('Contactos Agua Celica'!F15)," ","false")</f>
        <v>false</v>
      </c>
      <c r="H17" s="19" t="str">
        <f>IF(ISBLANK('Contactos Agua Celica'!F15)," ","0")</f>
        <v>0</v>
      </c>
      <c r="I17" s="19" t="str">
        <f>IF(ISBLANK('Contactos Agua Celica'!F15)," ","0")</f>
        <v>0</v>
      </c>
    </row>
    <row r="18" spans="1:9" x14ac:dyDescent="0.3">
      <c r="A18" s="19" t="s">
        <v>632</v>
      </c>
      <c r="B18" s="20" t="str">
        <f>IF(ISBLANK('Contactos Agua Celica'!F16),"",'Contactos Agua Celica'!F16)</f>
        <v>Alfonso capa</v>
      </c>
      <c r="C18" s="18" t="str">
        <f>IF(ISBLANK('Contactos Agua Celica'!G16),"",'Contactos Agua Celica'!G16)</f>
        <v>+593 98 442 0602</v>
      </c>
      <c r="D18" s="19" t="str">
        <f>IF(ISBLANK('Contactos Agua Celica'!H16),"",MID('Contactos Agua Celica'!H16,1,FIND(",",'Contactos Agua Celica'!H16,1)-1))</f>
        <v>-4.100388920851322</v>
      </c>
      <c r="E18" s="19" t="str">
        <f>IF(ISBLANK('Contactos Agua Celica'!H16),"",MID('Contactos Agua Celica'!H16,FIND(",",'Contactos Agua Celica'!H16,1)+1,LEN('Contactos Agua Celica'!H16)))</f>
        <v xml:space="preserve"> -79.95733708184613</v>
      </c>
      <c r="F18" s="11" t="s">
        <v>1259</v>
      </c>
      <c r="G18" s="19" t="str">
        <f>IF(ISBLANK('Contactos Agua Celica'!F16)," ","false")</f>
        <v>false</v>
      </c>
      <c r="H18" s="19" t="str">
        <f>IF(ISBLANK('Contactos Agua Celica'!F16)," ","0")</f>
        <v>0</v>
      </c>
      <c r="I18" s="19" t="str">
        <f>IF(ISBLANK('Contactos Agua Celica'!F16)," ","0")</f>
        <v>0</v>
      </c>
    </row>
    <row r="19" spans="1:9" x14ac:dyDescent="0.3">
      <c r="A19" s="19" t="s">
        <v>633</v>
      </c>
      <c r="B19" s="20" t="str">
        <f>IF(ISBLANK('Contactos Agua Celica'!F17),"",'Contactos Agua Celica'!F17)</f>
        <v>Ali</v>
      </c>
      <c r="C19" s="18" t="str">
        <f>IF(ISBLANK('Contactos Agua Celica'!G17),"",'Contactos Agua Celica'!G17)</f>
        <v>+593 99 483 6887</v>
      </c>
      <c r="D19" s="19" t="str">
        <f>IF(ISBLANK('Contactos Agua Celica'!H17),"",MID('Contactos Agua Celica'!H17,1,FIND(",",'Contactos Agua Celica'!H17,1)-1))</f>
        <v>-4.098933824246628</v>
      </c>
      <c r="E19" s="19" t="str">
        <f>IF(ISBLANK('Contactos Agua Celica'!H17),"",MID('Contactos Agua Celica'!H17,FIND(",",'Contactos Agua Celica'!H17,1)+1,LEN('Contactos Agua Celica'!H17)))</f>
        <v xml:space="preserve"> -79.95714877403053</v>
      </c>
      <c r="F19" s="11" t="s">
        <v>1267</v>
      </c>
      <c r="G19" s="19" t="str">
        <f>IF(ISBLANK('Contactos Agua Celica'!F17)," ","false")</f>
        <v>false</v>
      </c>
      <c r="H19" s="19" t="str">
        <f>IF(ISBLANK('Contactos Agua Celica'!F17)," ","0")</f>
        <v>0</v>
      </c>
      <c r="I19" s="19" t="str">
        <f>IF(ISBLANK('Contactos Agua Celica'!F17)," ","0")</f>
        <v>0</v>
      </c>
    </row>
    <row r="20" spans="1:9" x14ac:dyDescent="0.3">
      <c r="A20" s="19" t="s">
        <v>634</v>
      </c>
      <c r="B20" s="20" t="str">
        <f>IF(ISBLANK('Contactos Agua Celica'!F18),"",'Contactos Agua Celica'!F18)</f>
        <v>AN3studio</v>
      </c>
      <c r="C20" s="18" t="str">
        <f>IF(ISBLANK('Contactos Agua Celica'!G18),"",'Contactos Agua Celica'!G18)</f>
        <v>+593 98 551 2681</v>
      </c>
      <c r="D20" s="19" t="str">
        <f>IF(ISBLANK('Contactos Agua Celica'!H18),"",MID('Contactos Agua Celica'!H18,1,FIND(",",'Contactos Agua Celica'!H18,1)-1))</f>
        <v>-4.10267823201218</v>
      </c>
      <c r="E20" s="19" t="str">
        <f>IF(ISBLANK('Contactos Agua Celica'!H18),"",MID('Contactos Agua Celica'!H18,FIND(",",'Contactos Agua Celica'!H18,1)+1,LEN('Contactos Agua Celica'!H18)))</f>
        <v xml:space="preserve"> -79.95657326130804</v>
      </c>
      <c r="F20" s="11" t="s">
        <v>1260</v>
      </c>
      <c r="G20" s="19" t="str">
        <f>IF(ISBLANK('Contactos Agua Celica'!F18)," ","false")</f>
        <v>false</v>
      </c>
      <c r="H20" s="19" t="str">
        <f>IF(ISBLANK('Contactos Agua Celica'!F18)," ","0")</f>
        <v>0</v>
      </c>
      <c r="I20" s="19" t="str">
        <f>IF(ISBLANK('Contactos Agua Celica'!F18)," ","0")</f>
        <v>0</v>
      </c>
    </row>
    <row r="21" spans="1:9" x14ac:dyDescent="0.3">
      <c r="A21" s="19" t="s">
        <v>635</v>
      </c>
      <c r="B21" s="20" t="str">
        <f>IF(ISBLANK('Contactos Agua Celica'!F19),"",'Contactos Agua Celica'!F19)</f>
        <v>Anabel Ramíre</v>
      </c>
      <c r="C21" s="18" t="str">
        <f>IF(ISBLANK('Contactos Agua Celica'!G19),"",'Contactos Agua Celica'!G19)</f>
        <v>+593 98 669 2574</v>
      </c>
      <c r="D21" s="19" t="str">
        <f>IF(ISBLANK('Contactos Agua Celica'!H19),"",MID('Contactos Agua Celica'!H19,1,FIND(",",'Contactos Agua Celica'!H19,1)-1))</f>
        <v>-4.10255199616966</v>
      </c>
      <c r="E21" s="19" t="str">
        <f>IF(ISBLANK('Contactos Agua Celica'!H19),"",MID('Contactos Agua Celica'!H19,FIND(",",'Contactos Agua Celica'!H19,1)+1,LEN('Contactos Agua Celica'!H19)))</f>
        <v xml:space="preserve"> -79.9577613123271</v>
      </c>
      <c r="F21" s="11" t="s">
        <v>1267</v>
      </c>
      <c r="G21" s="19" t="str">
        <f>IF(ISBLANK('Contactos Agua Celica'!F19)," ","false")</f>
        <v>false</v>
      </c>
      <c r="H21" s="19" t="str">
        <f>IF(ISBLANK('Contactos Agua Celica'!F19)," ","0")</f>
        <v>0</v>
      </c>
      <c r="I21" s="19" t="str">
        <f>IF(ISBLANK('Contactos Agua Celica'!F19)," ","0")</f>
        <v>0</v>
      </c>
    </row>
    <row r="22" spans="1:9" x14ac:dyDescent="0.3">
      <c r="A22" s="19" t="s">
        <v>636</v>
      </c>
      <c r="B22" s="20" t="str">
        <f>IF(ISBLANK('Contactos Agua Celica'!F20),"",'Contactos Agua Celica'!F20)</f>
        <v>Andrea Ordoñez</v>
      </c>
      <c r="C22" s="18" t="str">
        <f>IF(ISBLANK('Contactos Agua Celica'!G20),"",'Contactos Agua Celica'!G20)</f>
        <v>+593 98 858 1486</v>
      </c>
      <c r="D22" s="19" t="str">
        <f>IF(ISBLANK('Contactos Agua Celica'!H20),"",MID('Contactos Agua Celica'!H20,1,FIND(",",'Contactos Agua Celica'!H20,1)-1))</f>
        <v>-4.101748611272282</v>
      </c>
      <c r="E22" s="19" t="str">
        <f>IF(ISBLANK('Contactos Agua Celica'!H20),"",MID('Contactos Agua Celica'!H20,FIND(",",'Contactos Agua Celica'!H20,1)+1,LEN('Contactos Agua Celica'!H20)))</f>
        <v xml:space="preserve"> -79.95260760377491</v>
      </c>
      <c r="F22" s="11" t="s">
        <v>1259</v>
      </c>
      <c r="G22" s="19" t="str">
        <f>IF(ISBLANK('Contactos Agua Celica'!F20)," ","false")</f>
        <v>false</v>
      </c>
      <c r="H22" s="19" t="str">
        <f>IF(ISBLANK('Contactos Agua Celica'!F20)," ","0")</f>
        <v>0</v>
      </c>
      <c r="I22" s="19" t="str">
        <f>IF(ISBLANK('Contactos Agua Celica'!F20)," ","0")</f>
        <v>0</v>
      </c>
    </row>
    <row r="23" spans="1:9" x14ac:dyDescent="0.3">
      <c r="A23" s="19" t="s">
        <v>637</v>
      </c>
      <c r="B23" s="20" t="str">
        <f>IF(ISBLANK('Contactos Agua Celica'!F21),"",'Contactos Agua Celica'!F21)</f>
        <v>Andrea Oviedo</v>
      </c>
      <c r="C23" s="18" t="str">
        <f>IF(ISBLANK('Contactos Agua Celica'!G21),"",'Contactos Agua Celica'!G21)</f>
        <v>093 904 4261</v>
      </c>
      <c r="D23" s="19" t="str">
        <f>IF(ISBLANK('Contactos Agua Celica'!H21),"",MID('Contactos Agua Celica'!H21,1,FIND(",",'Contactos Agua Celica'!H21,1)-1))</f>
        <v/>
      </c>
      <c r="E23" s="19" t="str">
        <f>IF(ISBLANK('Contactos Agua Celica'!H21),"",MID('Contactos Agua Celica'!H21,FIND(",",'Contactos Agua Celica'!H21,1)+1,LEN('Contactos Agua Celica'!H21)))</f>
        <v/>
      </c>
      <c r="F23" s="11" t="s">
        <v>1267</v>
      </c>
      <c r="G23" s="19" t="str">
        <f>IF(ISBLANK('Contactos Agua Celica'!F21)," ","false")</f>
        <v>false</v>
      </c>
      <c r="H23" s="19" t="str">
        <f>IF(ISBLANK('Contactos Agua Celica'!F21)," ","0")</f>
        <v>0</v>
      </c>
      <c r="I23" s="19" t="str">
        <f>IF(ISBLANK('Contactos Agua Celica'!F21)," ","0")</f>
        <v>0</v>
      </c>
    </row>
    <row r="24" spans="1:9" x14ac:dyDescent="0.3">
      <c r="A24" s="19" t="s">
        <v>638</v>
      </c>
      <c r="B24" s="20" t="str">
        <f>IF(ISBLANK('Contactos Agua Celica'!F22),"",'Contactos Agua Celica'!F22)</f>
        <v>Andrea Torres</v>
      </c>
      <c r="C24" s="18" t="str">
        <f>IF(ISBLANK('Contactos Agua Celica'!G22),"",'Contactos Agua Celica'!G22)</f>
        <v>+593 99 474 3948</v>
      </c>
      <c r="D24" s="19" t="str">
        <f>IF(ISBLANK('Contactos Agua Celica'!H22),"",MID('Contactos Agua Celica'!H22,1,FIND(",",'Contactos Agua Celica'!H22,1)-1))</f>
        <v>-4.106207222629045</v>
      </c>
      <c r="E24" s="19" t="str">
        <f>IF(ISBLANK('Contactos Agua Celica'!H22),"",MID('Contactos Agua Celica'!H22,FIND(",",'Contactos Agua Celica'!H22,1)+1,LEN('Contactos Agua Celica'!H22)))</f>
        <v xml:space="preserve"> -79.95473826849154</v>
      </c>
      <c r="F24" s="11" t="s">
        <v>1267</v>
      </c>
      <c r="G24" s="19" t="str">
        <f>IF(ISBLANK('Contactos Agua Celica'!F22)," ","false")</f>
        <v>false</v>
      </c>
      <c r="H24" s="19" t="str">
        <f>IF(ISBLANK('Contactos Agua Celica'!F22)," ","0")</f>
        <v>0</v>
      </c>
      <c r="I24" s="19" t="str">
        <f>IF(ISBLANK('Contactos Agua Celica'!F22)," ","0")</f>
        <v>0</v>
      </c>
    </row>
    <row r="25" spans="1:9" x14ac:dyDescent="0.3">
      <c r="A25" s="19" t="s">
        <v>639</v>
      </c>
      <c r="B25" s="20" t="str">
        <f>IF(ISBLANK('Contactos Agua Celica'!F23),"",'Contactos Agua Celica'!F23)</f>
        <v>Andrés Gallegos</v>
      </c>
      <c r="C25" s="18" t="str">
        <f>IF(ISBLANK('Contactos Agua Celica'!G23),"",'Contactos Agua Celica'!G23)</f>
        <v>+593 98 739 4616</v>
      </c>
      <c r="D25" s="19" t="str">
        <f>IF(ISBLANK('Contactos Agua Celica'!H23),"",MID('Contactos Agua Celica'!H23,1,FIND(",",'Contactos Agua Celica'!H23,1)-1))</f>
        <v/>
      </c>
      <c r="E25" s="19" t="str">
        <f>IF(ISBLANK('Contactos Agua Celica'!H23),"",MID('Contactos Agua Celica'!H23,FIND(",",'Contactos Agua Celica'!H23,1)+1,LEN('Contactos Agua Celica'!H23)))</f>
        <v/>
      </c>
      <c r="F25" s="11" t="s">
        <v>1260</v>
      </c>
      <c r="G25" s="19" t="str">
        <f>IF(ISBLANK('Contactos Agua Celica'!F23)," ","false")</f>
        <v>false</v>
      </c>
      <c r="H25" s="19" t="str">
        <f>IF(ISBLANK('Contactos Agua Celica'!F23)," ","0")</f>
        <v>0</v>
      </c>
      <c r="I25" s="19" t="str">
        <f>IF(ISBLANK('Contactos Agua Celica'!F23)," ","0")</f>
        <v>0</v>
      </c>
    </row>
    <row r="26" spans="1:9" x14ac:dyDescent="0.3">
      <c r="A26" s="19" t="s">
        <v>640</v>
      </c>
      <c r="B26" s="20" t="str">
        <f>IF(ISBLANK('Contactos Agua Celica'!F24),"",'Contactos Agua Celica'!F24)</f>
        <v>Andrés Ramos</v>
      </c>
      <c r="C26" s="18" t="str">
        <f>IF(ISBLANK('Contactos Agua Celica'!G24),"",'Contactos Agua Celica'!G24)</f>
        <v>+593 98 736 4564</v>
      </c>
      <c r="D26" s="19" t="str">
        <f>IF(ISBLANK('Contactos Agua Celica'!H24),"",MID('Contactos Agua Celica'!H24,1,FIND(",",'Contactos Agua Celica'!H24,1)-1))</f>
        <v/>
      </c>
      <c r="E26" s="19" t="str">
        <f>IF(ISBLANK('Contactos Agua Celica'!H24),"",MID('Contactos Agua Celica'!H24,FIND(",",'Contactos Agua Celica'!H24,1)+1,LEN('Contactos Agua Celica'!H24)))</f>
        <v/>
      </c>
      <c r="F26" s="11" t="s">
        <v>1254</v>
      </c>
      <c r="G26" s="19" t="str">
        <f>IF(ISBLANK('Contactos Agua Celica'!F24)," ","false")</f>
        <v>false</v>
      </c>
      <c r="H26" s="19" t="str">
        <f>IF(ISBLANK('Contactos Agua Celica'!F24)," ","0")</f>
        <v>0</v>
      </c>
      <c r="I26" s="19" t="str">
        <f>IF(ISBLANK('Contactos Agua Celica'!F24)," ","0")</f>
        <v>0</v>
      </c>
    </row>
    <row r="27" spans="1:9" x14ac:dyDescent="0.3">
      <c r="A27" s="19" t="s">
        <v>641</v>
      </c>
      <c r="B27" s="20" t="str">
        <f>IF(ISBLANK('Contactos Agua Celica'!F25),"",'Contactos Agua Celica'!F25)</f>
        <v>Andrés Temezaca</v>
      </c>
      <c r="C27" s="18" t="str">
        <f>IF(ISBLANK('Contactos Agua Celica'!G25),"",'Contactos Agua Celica'!G25)</f>
        <v>099 794 2005</v>
      </c>
      <c r="D27" s="19" t="str">
        <f>IF(ISBLANK('Contactos Agua Celica'!H25),"",MID('Contactos Agua Celica'!H25,1,FIND(",",'Contactos Agua Celica'!H25,1)-1))</f>
        <v>-4.101240577762711</v>
      </c>
      <c r="E27" s="19" t="str">
        <f>IF(ISBLANK('Contactos Agua Celica'!H25),"",MID('Contactos Agua Celica'!H25,FIND(",",'Contactos Agua Celica'!H25,1)+1,LEN('Contactos Agua Celica'!H25)))</f>
        <v xml:space="preserve"> -79.9579800351063</v>
      </c>
      <c r="F27" s="11" t="s">
        <v>1262</v>
      </c>
      <c r="G27" s="19" t="str">
        <f>IF(ISBLANK('Contactos Agua Celica'!F25)," ","false")</f>
        <v>false</v>
      </c>
      <c r="H27" s="19" t="str">
        <f>IF(ISBLANK('Contactos Agua Celica'!F25)," ","0")</f>
        <v>0</v>
      </c>
      <c r="I27" s="19" t="str">
        <f>IF(ISBLANK('Contactos Agua Celica'!F25)," ","0")</f>
        <v>0</v>
      </c>
    </row>
    <row r="28" spans="1:9" x14ac:dyDescent="0.3">
      <c r="A28" s="19" t="s">
        <v>642</v>
      </c>
      <c r="B28" s="20" t="str">
        <f>IF(ISBLANK('Contactos Agua Celica'!F26),"",'Contactos Agua Celica'!F26)</f>
        <v>Angel Bustamante</v>
      </c>
      <c r="C28" s="18" t="str">
        <f>IF(ISBLANK('Contactos Agua Celica'!G26),"",'Contactos Agua Celica'!G26)</f>
        <v>+593 98 914 7781</v>
      </c>
      <c r="D28" s="19" t="str">
        <f>IF(ISBLANK('Contactos Agua Celica'!H26),"",MID('Contactos Agua Celica'!H26,1,FIND(",",'Contactos Agua Celica'!H26,1)-1))</f>
        <v>-4.098720403030158</v>
      </c>
      <c r="E28" s="19" t="str">
        <f>IF(ISBLANK('Contactos Agua Celica'!H26),"",MID('Contactos Agua Celica'!H26,FIND(",",'Contactos Agua Celica'!H26,1)+1,LEN('Contactos Agua Celica'!H26)))</f>
        <v xml:space="preserve"> -79.95901268557944</v>
      </c>
      <c r="F28" s="11" t="s">
        <v>1267</v>
      </c>
      <c r="G28" s="19" t="str">
        <f>IF(ISBLANK('Contactos Agua Celica'!F26)," ","false")</f>
        <v>false</v>
      </c>
      <c r="H28" s="19" t="str">
        <f>IF(ISBLANK('Contactos Agua Celica'!F26)," ","0")</f>
        <v>0</v>
      </c>
      <c r="I28" s="19" t="str">
        <f>IF(ISBLANK('Contactos Agua Celica'!F26)," ","0")</f>
        <v>0</v>
      </c>
    </row>
    <row r="29" spans="1:9" x14ac:dyDescent="0.3">
      <c r="A29" s="19" t="s">
        <v>643</v>
      </c>
      <c r="B29" s="20" t="str">
        <f>IF(ISBLANK('Contactos Agua Celica'!F27),"",'Contactos Agua Celica'!F27)</f>
        <v>Angelica</v>
      </c>
      <c r="C29" s="18" t="str">
        <f>IF(ISBLANK('Contactos Agua Celica'!G27),"",'Contactos Agua Celica'!G27)</f>
        <v>099 850 0065</v>
      </c>
      <c r="D29" s="19" t="str">
        <f>IF(ISBLANK('Contactos Agua Celica'!H27),"",MID('Contactos Agua Celica'!H27,1,FIND(",",'Contactos Agua Celica'!H27,1)-1))</f>
        <v>-4.107091588186018</v>
      </c>
      <c r="E29" s="19" t="str">
        <f>IF(ISBLANK('Contactos Agua Celica'!H27),"",MID('Contactos Agua Celica'!H27,FIND(",",'Contactos Agua Celica'!H27,1)+1,LEN('Contactos Agua Celica'!H27)))</f>
        <v xml:space="preserve"> -79.9533204361886</v>
      </c>
      <c r="F29" s="11" t="s">
        <v>1256</v>
      </c>
      <c r="G29" s="19" t="str">
        <f>IF(ISBLANK('Contactos Agua Celica'!F27)," ","false")</f>
        <v>false</v>
      </c>
      <c r="H29" s="19" t="str">
        <f>IF(ISBLANK('Contactos Agua Celica'!F27)," ","0")</f>
        <v>0</v>
      </c>
      <c r="I29" s="19" t="str">
        <f>IF(ISBLANK('Contactos Agua Celica'!F27)," ","0")</f>
        <v>0</v>
      </c>
    </row>
    <row r="30" spans="1:9" x14ac:dyDescent="0.3">
      <c r="A30" s="19" t="s">
        <v>644</v>
      </c>
      <c r="B30" s="20" t="str">
        <f>IF(ISBLANK('Contactos Agua Celica'!F28),"",'Contactos Agua Celica'!F28)</f>
        <v>Angelita</v>
      </c>
      <c r="C30" s="18" t="str">
        <f>IF(ISBLANK('Contactos Agua Celica'!G28),"",'Contactos Agua Celica'!G28)</f>
        <v>+593 99 322 0443</v>
      </c>
      <c r="D30" s="19" t="str">
        <f>IF(ISBLANK('Contactos Agua Celica'!H28),"",MID('Contactos Agua Celica'!H28,1,FIND(",",'Contactos Agua Celica'!H28,1)-1))</f>
        <v>-4.102153418726806</v>
      </c>
      <c r="E30" s="19" t="str">
        <f>IF(ISBLANK('Contactos Agua Celica'!H28),"",MID('Contactos Agua Celica'!H28,FIND(",",'Contactos Agua Celica'!H28,1)+1,LEN('Contactos Agua Celica'!H28)))</f>
        <v xml:space="preserve"> -79.95737926779425</v>
      </c>
      <c r="F30" s="11" t="s">
        <v>1259</v>
      </c>
      <c r="G30" s="19" t="str">
        <f>IF(ISBLANK('Contactos Agua Celica'!F28)," ","false")</f>
        <v>false</v>
      </c>
      <c r="H30" s="19" t="str">
        <f>IF(ISBLANK('Contactos Agua Celica'!F28)," ","0")</f>
        <v>0</v>
      </c>
      <c r="I30" s="19" t="str">
        <f>IF(ISBLANK('Contactos Agua Celica'!F28)," ","0")</f>
        <v>0</v>
      </c>
    </row>
    <row r="31" spans="1:9" x14ac:dyDescent="0.3">
      <c r="A31" s="19" t="s">
        <v>645</v>
      </c>
      <c r="B31" s="20" t="str">
        <f>IF(ISBLANK('Contactos Agua Celica'!F29),"",'Contactos Agua Celica'!F29)</f>
        <v>Angelita Pacheco</v>
      </c>
      <c r="C31" s="18" t="str">
        <f>IF(ISBLANK('Contactos Agua Celica'!G29),"",'Contactos Agua Celica'!G29)</f>
        <v>+593 99 212 0508</v>
      </c>
      <c r="D31" s="19" t="str">
        <f>IF(ISBLANK('Contactos Agua Celica'!H29),"",MID('Contactos Agua Celica'!H29,1,FIND(",",'Contactos Agua Celica'!H29,1)-1))</f>
        <v>-4.106812407594483</v>
      </c>
      <c r="E31" s="19" t="str">
        <f>IF(ISBLANK('Contactos Agua Celica'!H29),"",MID('Contactos Agua Celica'!H29,FIND(",",'Contactos Agua Celica'!H29,1)+1,LEN('Contactos Agua Celica'!H29)))</f>
        <v xml:space="preserve"> -79.95313012645737</v>
      </c>
      <c r="F31" s="11" t="s">
        <v>1259</v>
      </c>
      <c r="G31" s="19" t="str">
        <f>IF(ISBLANK('Contactos Agua Celica'!F29)," ","false")</f>
        <v>false</v>
      </c>
      <c r="H31" s="19" t="str">
        <f>IF(ISBLANK('Contactos Agua Celica'!F29)," ","0")</f>
        <v>0</v>
      </c>
      <c r="I31" s="19" t="str">
        <f>IF(ISBLANK('Contactos Agua Celica'!F29)," ","0")</f>
        <v>0</v>
      </c>
    </row>
    <row r="32" spans="1:9" x14ac:dyDescent="0.3">
      <c r="A32" s="19" t="s">
        <v>646</v>
      </c>
      <c r="B32" s="20" t="str">
        <f>IF(ISBLANK('Contactos Agua Celica'!F30),"",'Contactos Agua Celica'!F30)</f>
        <v>Angelita Zhamunghi</v>
      </c>
      <c r="C32" s="18" t="str">
        <f>IF(ISBLANK('Contactos Agua Celica'!G30),"",'Contactos Agua Celica'!G30)</f>
        <v>099 323 0443</v>
      </c>
      <c r="D32" s="19" t="str">
        <f>IF(ISBLANK('Contactos Agua Celica'!H30),"",MID('Contactos Agua Celica'!H30,1,FIND(",",'Contactos Agua Celica'!H30,1)-1))</f>
        <v>-4.102153418726806</v>
      </c>
      <c r="E32" s="19" t="str">
        <f>IF(ISBLANK('Contactos Agua Celica'!H30),"",MID('Contactos Agua Celica'!H30,FIND(",",'Contactos Agua Celica'!H30,1)+1,LEN('Contactos Agua Celica'!H30)))</f>
        <v xml:space="preserve"> -79.95737926779425</v>
      </c>
      <c r="F32" s="11" t="s">
        <v>1267</v>
      </c>
      <c r="G32" s="19" t="str">
        <f>IF(ISBLANK('Contactos Agua Celica'!F30)," ","false")</f>
        <v>false</v>
      </c>
      <c r="H32" s="19" t="str">
        <f>IF(ISBLANK('Contactos Agua Celica'!F30)," ","0")</f>
        <v>0</v>
      </c>
      <c r="I32" s="19" t="str">
        <f>IF(ISBLANK('Contactos Agua Celica'!F30)," ","0")</f>
        <v>0</v>
      </c>
    </row>
    <row r="33" spans="1:9" x14ac:dyDescent="0.3">
      <c r="A33" s="19" t="s">
        <v>647</v>
      </c>
      <c r="B33" s="20" t="str">
        <f>IF(ISBLANK('Contactos Agua Celica'!F31),"",'Contactos Agua Celica'!F31)</f>
        <v>Angie Torres</v>
      </c>
      <c r="C33" s="18" t="str">
        <f>IF(ISBLANK('Contactos Agua Celica'!G31),"",'Contactos Agua Celica'!G31)</f>
        <v>0958997595</v>
      </c>
      <c r="D33" s="19" t="str">
        <f>IF(ISBLANK('Contactos Agua Celica'!H31),"",MID('Contactos Agua Celica'!H31,1,FIND(",",'Contactos Agua Celica'!H31,1)-1))</f>
        <v/>
      </c>
      <c r="E33" s="19" t="str">
        <f>IF(ISBLANK('Contactos Agua Celica'!H31),"",MID('Contactos Agua Celica'!H31,FIND(",",'Contactos Agua Celica'!H31,1)+1,LEN('Contactos Agua Celica'!H31)))</f>
        <v/>
      </c>
      <c r="F33" s="11" t="s">
        <v>1267</v>
      </c>
      <c r="G33" s="19" t="str">
        <f>IF(ISBLANK('Contactos Agua Celica'!F31)," ","false")</f>
        <v>false</v>
      </c>
      <c r="H33" s="19" t="str">
        <f>IF(ISBLANK('Contactos Agua Celica'!F31)," ","0")</f>
        <v>0</v>
      </c>
      <c r="I33" s="19" t="str">
        <f>IF(ISBLANK('Contactos Agua Celica'!F31)," ","0")</f>
        <v>0</v>
      </c>
    </row>
    <row r="34" spans="1:9" x14ac:dyDescent="0.3">
      <c r="A34" s="19" t="s">
        <v>648</v>
      </c>
      <c r="B34" s="20" t="str">
        <f>IF(ISBLANK('Contactos Agua Celica'!F32),"",'Contactos Agua Celica'!F32)</f>
        <v>Anita</v>
      </c>
      <c r="C34" s="18" t="str">
        <f>IF(ISBLANK('Contactos Agua Celica'!G32),"",'Contactos Agua Celica'!G32)</f>
        <v>072657558</v>
      </c>
      <c r="D34" s="19" t="str">
        <f>IF(ISBLANK('Contactos Agua Celica'!H32),"",MID('Contactos Agua Celica'!H32,1,FIND(",",'Contactos Agua Celica'!H32,1)-1))</f>
        <v/>
      </c>
      <c r="E34" s="19" t="str">
        <f>IF(ISBLANK('Contactos Agua Celica'!H32),"",MID('Contactos Agua Celica'!H32,FIND(",",'Contactos Agua Celica'!H32,1)+1,LEN('Contactos Agua Celica'!H32)))</f>
        <v/>
      </c>
      <c r="F34" s="11" t="s">
        <v>1267</v>
      </c>
      <c r="G34" s="19" t="str">
        <f>IF(ISBLANK('Contactos Agua Celica'!F32)," ","false")</f>
        <v>false</v>
      </c>
      <c r="H34" s="19" t="str">
        <f>IF(ISBLANK('Contactos Agua Celica'!F32)," ","0")</f>
        <v>0</v>
      </c>
      <c r="I34" s="19" t="str">
        <f>IF(ISBLANK('Contactos Agua Celica'!F32)," ","0")</f>
        <v>0</v>
      </c>
    </row>
    <row r="35" spans="1:9" x14ac:dyDescent="0.3">
      <c r="A35" s="19" t="s">
        <v>649</v>
      </c>
      <c r="B35" s="20" t="str">
        <f>IF(ISBLANK('Contactos Agua Celica'!F33),"",'Contactos Agua Celica'!F33)</f>
        <v>Antonia Escobar</v>
      </c>
      <c r="C35" s="18" t="str">
        <f>IF(ISBLANK('Contactos Agua Celica'!G33),"",'Contactos Agua Celica'!G33)</f>
        <v>099 767 4277</v>
      </c>
      <c r="D35" s="19" t="str">
        <f>IF(ISBLANK('Contactos Agua Celica'!H33),"",MID('Contactos Agua Celica'!H33,1,FIND(",",'Contactos Agua Celica'!H33,1)-1))</f>
        <v>-4.105314500819319</v>
      </c>
      <c r="E35" s="19" t="str">
        <f>IF(ISBLANK('Contactos Agua Celica'!H33),"",MID('Contactos Agua Celica'!H33,FIND(",",'Contactos Agua Celica'!H33,1)+1,LEN('Contactos Agua Celica'!H33)))</f>
        <v xml:space="preserve"> -79.95529736779204</v>
      </c>
      <c r="F35" s="11" t="s">
        <v>1263</v>
      </c>
      <c r="G35" s="19" t="str">
        <f>IF(ISBLANK('Contactos Agua Celica'!F33)," ","false")</f>
        <v>false</v>
      </c>
      <c r="H35" s="19" t="str">
        <f>IF(ISBLANK('Contactos Agua Celica'!F33)," ","0")</f>
        <v>0</v>
      </c>
      <c r="I35" s="19" t="str">
        <f>IF(ISBLANK('Contactos Agua Celica'!F33)," ","0")</f>
        <v>0</v>
      </c>
    </row>
    <row r="36" spans="1:9" x14ac:dyDescent="0.3">
      <c r="A36" s="19" t="s">
        <v>650</v>
      </c>
      <c r="B36" s="20" t="str">
        <f>IF(ISBLANK('Contactos Agua Celica'!F34),"",'Contactos Agua Celica'!F34)</f>
        <v>Antonio Guillén</v>
      </c>
      <c r="C36" s="18" t="str">
        <f>IF(ISBLANK('Contactos Agua Celica'!G34),"",'Contactos Agua Celica'!G34)</f>
        <v>099 236 2012</v>
      </c>
      <c r="D36" s="19" t="str">
        <f>IF(ISBLANK('Contactos Agua Celica'!H34),"",MID('Contactos Agua Celica'!H34,1,FIND(",",'Contactos Agua Celica'!H34,1)-1))</f>
        <v>-4.104096560816354</v>
      </c>
      <c r="E36" s="19" t="str">
        <f>IF(ISBLANK('Contactos Agua Celica'!H34),"",MID('Contactos Agua Celica'!H34,FIND(",",'Contactos Agua Celica'!H34,1)+1,LEN('Contactos Agua Celica'!H34)))</f>
        <v xml:space="preserve"> -79.95715867727002</v>
      </c>
      <c r="F36" s="11" t="s">
        <v>1267</v>
      </c>
      <c r="G36" s="19" t="str">
        <f>IF(ISBLANK('Contactos Agua Celica'!F34)," ","false")</f>
        <v>false</v>
      </c>
      <c r="H36" s="19" t="str">
        <f>IF(ISBLANK('Contactos Agua Celica'!F34)," ","0")</f>
        <v>0</v>
      </c>
      <c r="I36" s="19" t="str">
        <f>IF(ISBLANK('Contactos Agua Celica'!F34)," ","0")</f>
        <v>0</v>
      </c>
    </row>
    <row r="37" spans="1:9" x14ac:dyDescent="0.3">
      <c r="A37" s="19" t="s">
        <v>651</v>
      </c>
      <c r="B37" s="20" t="str">
        <f>IF(ISBLANK('Contactos Agua Celica'!F35),"",'Contactos Agua Celica'!F35)</f>
        <v>Aquiles Ojeda</v>
      </c>
      <c r="C37" s="18" t="str">
        <f>IF(ISBLANK('Contactos Agua Celica'!G35),"",'Contactos Agua Celica'!G35)</f>
        <v>+593 95 967 8115</v>
      </c>
      <c r="D37" s="19" t="str">
        <f>IF(ISBLANK('Contactos Agua Celica'!H35),"",MID('Contactos Agua Celica'!H35,1,FIND(",",'Contactos Agua Celica'!H35,1)-1))</f>
        <v>-4.101310198803472</v>
      </c>
      <c r="E37" s="19" t="str">
        <f>IF(ISBLANK('Contactos Agua Celica'!H35),"",MID('Contactos Agua Celica'!H35,FIND(",",'Contactos Agua Celica'!H35,1)+1,LEN('Contactos Agua Celica'!H35)))</f>
        <v xml:space="preserve"> -79.95712179686356</v>
      </c>
      <c r="F37" s="11" t="s">
        <v>1268</v>
      </c>
      <c r="G37" s="19" t="str">
        <f>IF(ISBLANK('Contactos Agua Celica'!F35)," ","false")</f>
        <v>false</v>
      </c>
      <c r="H37" s="19" t="str">
        <f>IF(ISBLANK('Contactos Agua Celica'!F35)," ","0")</f>
        <v>0</v>
      </c>
      <c r="I37" s="19" t="str">
        <f>IF(ISBLANK('Contactos Agua Celica'!F35)," ","0")</f>
        <v>0</v>
      </c>
    </row>
    <row r="38" spans="1:9" x14ac:dyDescent="0.3">
      <c r="A38" s="19" t="s">
        <v>652</v>
      </c>
      <c r="B38" s="20" t="str">
        <f>IF(ISBLANK('Contactos Agua Celica'!F36),"",'Contactos Agua Celica'!F36)</f>
        <v>Arsenio Castillo</v>
      </c>
      <c r="C38" s="18" t="str">
        <f>IF(ISBLANK('Contactos Agua Celica'!G36),"",'Contactos Agua Celica'!G36)</f>
        <v>096 065 7974</v>
      </c>
      <c r="D38" s="19" t="str">
        <f>IF(ISBLANK('Contactos Agua Celica'!H36),"",MID('Contactos Agua Celica'!H36,1,FIND(",",'Contactos Agua Celica'!H36,1)-1))</f>
        <v/>
      </c>
      <c r="E38" s="19" t="str">
        <f>IF(ISBLANK('Contactos Agua Celica'!H36),"",MID('Contactos Agua Celica'!H36,FIND(",",'Contactos Agua Celica'!H36,1)+1,LEN('Contactos Agua Celica'!H36)))</f>
        <v/>
      </c>
      <c r="F38" s="11" t="s">
        <v>1263</v>
      </c>
      <c r="G38" s="19" t="str">
        <f>IF(ISBLANK('Contactos Agua Celica'!F36)," ","false")</f>
        <v>false</v>
      </c>
      <c r="H38" s="19" t="str">
        <f>IF(ISBLANK('Contactos Agua Celica'!F36)," ","0")</f>
        <v>0</v>
      </c>
      <c r="I38" s="19" t="str">
        <f>IF(ISBLANK('Contactos Agua Celica'!F36)," ","0")</f>
        <v>0</v>
      </c>
    </row>
    <row r="39" spans="1:9" x14ac:dyDescent="0.3">
      <c r="A39" s="19" t="s">
        <v>653</v>
      </c>
      <c r="B39" s="20" t="str">
        <f>IF(ISBLANK('Contactos Agua Celica'!F37),"",'Contactos Agua Celica'!F37)</f>
        <v>Aura Becerra Aura Becerra</v>
      </c>
      <c r="C39" s="18" t="str">
        <f>IF(ISBLANK('Contactos Agua Celica'!G37),"",'Contactos Agua Celica'!G37)</f>
        <v>+593 99 155 6105</v>
      </c>
      <c r="D39" s="19" t="str">
        <f>IF(ISBLANK('Contactos Agua Celica'!H37),"",MID('Contactos Agua Celica'!H37,1,FIND(",",'Contactos Agua Celica'!H37,1)-1))</f>
        <v>-4.102869251816913</v>
      </c>
      <c r="E39" s="19" t="str">
        <f>IF(ISBLANK('Contactos Agua Celica'!H37),"",MID('Contactos Agua Celica'!H37,FIND(",",'Contactos Agua Celica'!H37,1)+1,LEN('Contactos Agua Celica'!H37)))</f>
        <v xml:space="preserve"> -79.9559738113986</v>
      </c>
      <c r="F39" s="11" t="s">
        <v>1258</v>
      </c>
      <c r="G39" s="19" t="str">
        <f>IF(ISBLANK('Contactos Agua Celica'!F37)," ","false")</f>
        <v>false</v>
      </c>
      <c r="H39" s="19" t="str">
        <f>IF(ISBLANK('Contactos Agua Celica'!F37)," ","0")</f>
        <v>0</v>
      </c>
      <c r="I39" s="19" t="str">
        <f>IF(ISBLANK('Contactos Agua Celica'!F37)," ","0")</f>
        <v>0</v>
      </c>
    </row>
    <row r="40" spans="1:9" x14ac:dyDescent="0.3">
      <c r="A40" s="19" t="s">
        <v>654</v>
      </c>
      <c r="B40" s="20" t="str">
        <f>IF(ISBLANK('Contactos Agua Celica'!F38),"",'Contactos Agua Celica'!F38)</f>
        <v>Automotriz Bco</v>
      </c>
      <c r="C40" s="18" t="str">
        <f>IF(ISBLANK('Contactos Agua Celica'!G38),"",'Contactos Agua Celica'!G38)</f>
        <v>+593 98 001 8028</v>
      </c>
      <c r="D40" s="19" t="str">
        <f>IF(ISBLANK('Contactos Agua Celica'!H38),"",MID('Contactos Agua Celica'!H38,1,FIND(",",'Contactos Agua Celica'!H38,1)-1))</f>
        <v>-4.104863711611431</v>
      </c>
      <c r="E40" s="19" t="str">
        <f>IF(ISBLANK('Contactos Agua Celica'!H38),"",MID('Contactos Agua Celica'!H38,FIND(",",'Contactos Agua Celica'!H38,1)+1,LEN('Contactos Agua Celica'!H38)))</f>
        <v xml:space="preserve"> -79.9549394845437</v>
      </c>
      <c r="F40" s="11" t="s">
        <v>1267</v>
      </c>
      <c r="G40" s="19" t="str">
        <f>IF(ISBLANK('Contactos Agua Celica'!F38)," ","false")</f>
        <v>false</v>
      </c>
      <c r="H40" s="19" t="str">
        <f>IF(ISBLANK('Contactos Agua Celica'!F38)," ","0")</f>
        <v>0</v>
      </c>
      <c r="I40" s="19" t="str">
        <f>IF(ISBLANK('Contactos Agua Celica'!F38)," ","0")</f>
        <v>0</v>
      </c>
    </row>
    <row r="41" spans="1:9" x14ac:dyDescent="0.3">
      <c r="A41" s="19" t="s">
        <v>655</v>
      </c>
      <c r="B41" s="20" t="str">
        <f>IF(ISBLANK('Contactos Agua Celica'!F39),"",'Contactos Agua Celica'!F39)</f>
        <v>Bar Cuartel</v>
      </c>
      <c r="C41" s="18" t="str">
        <f>IF(ISBLANK('Contactos Agua Celica'!G39),"",'Contactos Agua Celica'!G39)</f>
        <v>0997406207</v>
      </c>
      <c r="D41" s="19" t="str">
        <f>IF(ISBLANK('Contactos Agua Celica'!H39),"",MID('Contactos Agua Celica'!H39,1,FIND(",",'Contactos Agua Celica'!H39,1)-1))</f>
        <v>-4.10093230690856</v>
      </c>
      <c r="E41" s="19" t="str">
        <f>IF(ISBLANK('Contactos Agua Celica'!H39),"",MID('Contactos Agua Celica'!H39,FIND(",",'Contactos Agua Celica'!H39,1)+1,LEN('Contactos Agua Celica'!H39)))</f>
        <v xml:space="preserve"> -79.95647169641776</v>
      </c>
      <c r="F41" s="11" t="s">
        <v>1267</v>
      </c>
      <c r="G41" s="19" t="str">
        <f>IF(ISBLANK('Contactos Agua Celica'!F39)," ","false")</f>
        <v>false</v>
      </c>
      <c r="H41" s="19" t="str">
        <f>IF(ISBLANK('Contactos Agua Celica'!F39)," ","0")</f>
        <v>0</v>
      </c>
      <c r="I41" s="19" t="str">
        <f>IF(ISBLANK('Contactos Agua Celica'!F39)," ","0")</f>
        <v>0</v>
      </c>
    </row>
    <row r="42" spans="1:9" x14ac:dyDescent="0.3">
      <c r="A42" s="19" t="s">
        <v>656</v>
      </c>
      <c r="B42" s="20" t="str">
        <f>IF(ISBLANK('Contactos Agua Celica'!F40),"",'Contactos Agua Celica'!F40)</f>
        <v>Batallon</v>
      </c>
      <c r="C42" s="18" t="str">
        <f>IF(ISBLANK('Contactos Agua Celica'!G40),"",'Contactos Agua Celica'!G40)</f>
        <v>+593 93 996 5562</v>
      </c>
      <c r="D42" s="19" t="str">
        <f>IF(ISBLANK('Contactos Agua Celica'!H40),"",MID('Contactos Agua Celica'!H40,1,FIND(",",'Contactos Agua Celica'!H40,1)-1))</f>
        <v>-4.10097510886475</v>
      </c>
      <c r="E42" s="19" t="str">
        <f>IF(ISBLANK('Contactos Agua Celica'!H40),"",MID('Contactos Agua Celica'!H40,FIND(",",'Contactos Agua Celica'!H40,1)+1,LEN('Contactos Agua Celica'!H40)))</f>
        <v xml:space="preserve"> -79.95644803545486</v>
      </c>
      <c r="F42" s="11" t="s">
        <v>1262</v>
      </c>
      <c r="G42" s="19" t="str">
        <f>IF(ISBLANK('Contactos Agua Celica'!F40)," ","false")</f>
        <v>false</v>
      </c>
      <c r="H42" s="19" t="str">
        <f>IF(ISBLANK('Contactos Agua Celica'!F40)," ","0")</f>
        <v>0</v>
      </c>
      <c r="I42" s="19" t="str">
        <f>IF(ISBLANK('Contactos Agua Celica'!F40)," ","0")</f>
        <v>0</v>
      </c>
    </row>
    <row r="43" spans="1:9" x14ac:dyDescent="0.3">
      <c r="A43" s="19" t="s">
        <v>657</v>
      </c>
      <c r="B43" s="20" t="str">
        <f>IF(ISBLANK('Contactos Agua Celica'!F41),"",'Contactos Agua Celica'!F41)</f>
        <v>Beatriz Garcia</v>
      </c>
      <c r="C43" s="18" t="str">
        <f>IF(ISBLANK('Contactos Agua Celica'!G41),"",'Contactos Agua Celica'!G41)</f>
        <v>0997391512</v>
      </c>
      <c r="D43" s="19" t="str">
        <f>IF(ISBLANK('Contactos Agua Celica'!H41),"",MID('Contactos Agua Celica'!H41,1,FIND(",",'Contactos Agua Celica'!H41,1)-1))</f>
        <v>-4.098727086070571</v>
      </c>
      <c r="E43" s="19" t="str">
        <f>IF(ISBLANK('Contactos Agua Celica'!H41),"",MID('Contactos Agua Celica'!H41,FIND(",",'Contactos Agua Celica'!H41,1)+1,LEN('Contactos Agua Celica'!H41)))</f>
        <v xml:space="preserve"> -79.96134228626936</v>
      </c>
      <c r="F43" s="11" t="s">
        <v>1267</v>
      </c>
      <c r="G43" s="19" t="str">
        <f>IF(ISBLANK('Contactos Agua Celica'!F41)," ","false")</f>
        <v>false</v>
      </c>
      <c r="H43" s="19" t="str">
        <f>IF(ISBLANK('Contactos Agua Celica'!F41)," ","0")</f>
        <v>0</v>
      </c>
      <c r="I43" s="19" t="str">
        <f>IF(ISBLANK('Contactos Agua Celica'!F41)," ","0")</f>
        <v>0</v>
      </c>
    </row>
    <row r="44" spans="1:9" x14ac:dyDescent="0.3">
      <c r="A44" s="19" t="s">
        <v>658</v>
      </c>
      <c r="B44" s="20" t="str">
        <f>IF(ISBLANK('Contactos Agua Celica'!F42),"",'Contactos Agua Celica'!F42)</f>
        <v>Beatriz Garcia 2</v>
      </c>
      <c r="C44" s="18" t="str">
        <f>IF(ISBLANK('Contactos Agua Celica'!G42),"",'Contactos Agua Celica'!G42)</f>
        <v>+593 99 941 4640</v>
      </c>
      <c r="D44" s="19" t="str">
        <f>IF(ISBLANK('Contactos Agua Celica'!H42),"",MID('Contactos Agua Celica'!H42,1,FIND(",",'Contactos Agua Celica'!H42,1)-1))</f>
        <v>-4.098727086070571</v>
      </c>
      <c r="E44" s="19" t="str">
        <f>IF(ISBLANK('Contactos Agua Celica'!H42),"",MID('Contactos Agua Celica'!H42,FIND(",",'Contactos Agua Celica'!H42,1)+1,LEN('Contactos Agua Celica'!H42)))</f>
        <v xml:space="preserve"> -79.96134228626936</v>
      </c>
      <c r="F44" s="11" t="s">
        <v>1267</v>
      </c>
      <c r="G44" s="19" t="str">
        <f>IF(ISBLANK('Contactos Agua Celica'!F42)," ","false")</f>
        <v>false</v>
      </c>
      <c r="H44" s="19" t="str">
        <f>IF(ISBLANK('Contactos Agua Celica'!F42)," ","0")</f>
        <v>0</v>
      </c>
      <c r="I44" s="19" t="str">
        <f>IF(ISBLANK('Contactos Agua Celica'!F42)," ","0")</f>
        <v>0</v>
      </c>
    </row>
    <row r="45" spans="1:9" x14ac:dyDescent="0.3">
      <c r="A45" s="19" t="s">
        <v>659</v>
      </c>
      <c r="B45" s="20" t="str">
        <f>IF(ISBLANK('Contactos Agua Celica'!F43),"",'Contactos Agua Celica'!F43)</f>
        <v>Benniz Cuenca</v>
      </c>
      <c r="C45" s="18" t="str">
        <f>IF(ISBLANK('Contactos Agua Celica'!G43),"",'Contactos Agua Celica'!G43)</f>
        <v>+593 99 174 5519</v>
      </c>
      <c r="D45" s="19" t="str">
        <f>IF(ISBLANK('Contactos Agua Celica'!H43),"",MID('Contactos Agua Celica'!H43,1,FIND(",",'Contactos Agua Celica'!H43,1)-1))</f>
        <v>-4.104978948930652</v>
      </c>
      <c r="E45" s="19" t="str">
        <f>IF(ISBLANK('Contactos Agua Celica'!H43),"",MID('Contactos Agua Celica'!H43,FIND(",",'Contactos Agua Celica'!H43,1)+1,LEN('Contactos Agua Celica'!H43)))</f>
        <v xml:space="preserve"> -79.95490411236871</v>
      </c>
      <c r="F45" s="11" t="s">
        <v>1259</v>
      </c>
      <c r="G45" s="19" t="str">
        <f>IF(ISBLANK('Contactos Agua Celica'!F43)," ","false")</f>
        <v>false</v>
      </c>
      <c r="H45" s="19" t="str">
        <f>IF(ISBLANK('Contactos Agua Celica'!F43)," ","0")</f>
        <v>0</v>
      </c>
      <c r="I45" s="19" t="str">
        <f>IF(ISBLANK('Contactos Agua Celica'!F43)," ","0")</f>
        <v>0</v>
      </c>
    </row>
    <row r="46" spans="1:9" x14ac:dyDescent="0.3">
      <c r="A46" s="19" t="s">
        <v>660</v>
      </c>
      <c r="B46" s="20" t="str">
        <f>IF(ISBLANK('Contactos Agua Celica'!F44),"",'Contactos Agua Celica'!F44)</f>
        <v>Beto Rojas</v>
      </c>
      <c r="C46" s="18" t="str">
        <f>IF(ISBLANK('Contactos Agua Celica'!G44),"",'Contactos Agua Celica'!G44)</f>
        <v>0996469802</v>
      </c>
      <c r="D46" s="19" t="str">
        <f>IF(ISBLANK('Contactos Agua Celica'!H44),"",MID('Contactos Agua Celica'!H44,1,FIND(",",'Contactos Agua Celica'!H44,1)-1))</f>
        <v>-4.102271126710051</v>
      </c>
      <c r="E46" s="19" t="str">
        <f>IF(ISBLANK('Contactos Agua Celica'!H44),"",MID('Contactos Agua Celica'!H44,FIND(",",'Contactos Agua Celica'!H44,1)+1,LEN('Contactos Agua Celica'!H44)))</f>
        <v xml:space="preserve"> -79.9565145103599</v>
      </c>
      <c r="F46" s="11" t="s">
        <v>1257</v>
      </c>
      <c r="G46" s="19" t="str">
        <f>IF(ISBLANK('Contactos Agua Celica'!F44)," ","false")</f>
        <v>false</v>
      </c>
      <c r="H46" s="19" t="str">
        <f>IF(ISBLANK('Contactos Agua Celica'!F44)," ","0")</f>
        <v>0</v>
      </c>
      <c r="I46" s="19" t="str">
        <f>IF(ISBLANK('Contactos Agua Celica'!F44)," ","0")</f>
        <v>0</v>
      </c>
    </row>
    <row r="47" spans="1:9" x14ac:dyDescent="0.3">
      <c r="A47" s="19" t="s">
        <v>661</v>
      </c>
      <c r="B47" s="20" t="str">
        <f>IF(ISBLANK('Contactos Agua Celica'!F45),"",'Contactos Agua Celica'!F45)</f>
        <v>Beto Terminal</v>
      </c>
      <c r="C47" s="18" t="str">
        <f>IF(ISBLANK('Contactos Agua Celica'!G45),"",'Contactos Agua Celica'!G45)</f>
        <v>+593 98 433 0667</v>
      </c>
      <c r="D47" s="19" t="str">
        <f>IF(ISBLANK('Contactos Agua Celica'!H45),"",MID('Contactos Agua Celica'!H45,1,FIND(",",'Contactos Agua Celica'!H45,1)-1))</f>
        <v>-4.100498369410978</v>
      </c>
      <c r="E47" s="19" t="str">
        <f>IF(ISBLANK('Contactos Agua Celica'!H45),"",MID('Contactos Agua Celica'!H45,FIND(",",'Contactos Agua Celica'!H45,1)+1,LEN('Contactos Agua Celica'!H45)))</f>
        <v xml:space="preserve"> -79.95780814870625</v>
      </c>
      <c r="F47" s="11" t="s">
        <v>1259</v>
      </c>
      <c r="G47" s="19" t="str">
        <f>IF(ISBLANK('Contactos Agua Celica'!F45)," ","false")</f>
        <v>false</v>
      </c>
      <c r="H47" s="19" t="str">
        <f>IF(ISBLANK('Contactos Agua Celica'!F45)," ","0")</f>
        <v>0</v>
      </c>
      <c r="I47" s="19" t="str">
        <f>IF(ISBLANK('Contactos Agua Celica'!F45)," ","0")</f>
        <v>0</v>
      </c>
    </row>
    <row r="48" spans="1:9" x14ac:dyDescent="0.3">
      <c r="A48" s="19" t="s">
        <v>662</v>
      </c>
      <c r="B48" s="20" t="str">
        <f>IF(ISBLANK('Contactos Agua Celica'!F46),"",'Contactos Agua Celica'!F46)</f>
        <v>Betty Andrade</v>
      </c>
      <c r="C48" s="18" t="str">
        <f>IF(ISBLANK('Contactos Agua Celica'!G46),"",'Contactos Agua Celica'!G46)</f>
        <v>+593 99 154 9004</v>
      </c>
      <c r="D48" s="19" t="str">
        <f>IF(ISBLANK('Contactos Agua Celica'!H46),"",MID('Contactos Agua Celica'!H46,1,FIND(",",'Contactos Agua Celica'!H46,1)-1))</f>
        <v/>
      </c>
      <c r="E48" s="19" t="str">
        <f>IF(ISBLANK('Contactos Agua Celica'!H46),"",MID('Contactos Agua Celica'!H46,FIND(",",'Contactos Agua Celica'!H46,1)+1,LEN('Contactos Agua Celica'!H46)))</f>
        <v/>
      </c>
      <c r="F48" s="11" t="s">
        <v>1259</v>
      </c>
      <c r="G48" s="19" t="str">
        <f>IF(ISBLANK('Contactos Agua Celica'!F46)," ","false")</f>
        <v>false</v>
      </c>
      <c r="H48" s="19" t="str">
        <f>IF(ISBLANK('Contactos Agua Celica'!F46)," ","0")</f>
        <v>0</v>
      </c>
      <c r="I48" s="19" t="str">
        <f>IF(ISBLANK('Contactos Agua Celica'!F46)," ","0")</f>
        <v>0</v>
      </c>
    </row>
    <row r="49" spans="1:9" x14ac:dyDescent="0.3">
      <c r="A49" s="19" t="s">
        <v>663</v>
      </c>
      <c r="B49" s="20" t="str">
        <f>IF(ISBLANK('Contactos Agua Celica'!F47),"",'Contactos Agua Celica'!F47)</f>
        <v>Bety Montalván</v>
      </c>
      <c r="C49" s="18" t="str">
        <f>IF(ISBLANK('Contactos Agua Celica'!G47),"",'Contactos Agua Celica'!G47)</f>
        <v>098 011 7283</v>
      </c>
      <c r="D49" s="19" t="str">
        <f>IF(ISBLANK('Contactos Agua Celica'!H47),"",MID('Contactos Agua Celica'!H47,1,FIND(",",'Contactos Agua Celica'!H47,1)-1))</f>
        <v/>
      </c>
      <c r="E49" s="19" t="str">
        <f>IF(ISBLANK('Contactos Agua Celica'!H47),"",MID('Contactos Agua Celica'!H47,FIND(",",'Contactos Agua Celica'!H47,1)+1,LEN('Contactos Agua Celica'!H47)))</f>
        <v/>
      </c>
      <c r="F49" s="11" t="s">
        <v>1268</v>
      </c>
      <c r="G49" s="19" t="str">
        <f>IF(ISBLANK('Contactos Agua Celica'!F47)," ","false")</f>
        <v>false</v>
      </c>
      <c r="H49" s="19" t="str">
        <f>IF(ISBLANK('Contactos Agua Celica'!F47)," ","0")</f>
        <v>0</v>
      </c>
      <c r="I49" s="19" t="str">
        <f>IF(ISBLANK('Contactos Agua Celica'!F47)," ","0")</f>
        <v>0</v>
      </c>
    </row>
    <row r="50" spans="1:9" x14ac:dyDescent="0.3">
      <c r="A50" s="19" t="s">
        <v>664</v>
      </c>
      <c r="B50" s="20" t="str">
        <f>IF(ISBLANK('Contactos Agua Celica'!F48),"",'Contactos Agua Celica'!F48)</f>
        <v>Bianca Cuenca</v>
      </c>
      <c r="C50" s="18" t="str">
        <f>IF(ISBLANK('Contactos Agua Celica'!G48),"",'Contactos Agua Celica'!G48)</f>
        <v>+593 98 900 6195</v>
      </c>
      <c r="D50" s="19" t="str">
        <f>IF(ISBLANK('Contactos Agua Celica'!H48),"",MID('Contactos Agua Celica'!H48,1,FIND(",",'Contactos Agua Celica'!H48,1)-1))</f>
        <v>-4.105031214071018</v>
      </c>
      <c r="E50" s="19" t="str">
        <f>IF(ISBLANK('Contactos Agua Celica'!H48),"",MID('Contactos Agua Celica'!H48,FIND(",",'Contactos Agua Celica'!H48,1)+1,LEN('Contactos Agua Celica'!H48)))</f>
        <v xml:space="preserve"> -79.9548744573462</v>
      </c>
      <c r="F50" s="11" t="s">
        <v>1254</v>
      </c>
      <c r="G50" s="19" t="str">
        <f>IF(ISBLANK('Contactos Agua Celica'!F48)," ","false")</f>
        <v>false</v>
      </c>
      <c r="H50" s="19" t="str">
        <f>IF(ISBLANK('Contactos Agua Celica'!F48)," ","0")</f>
        <v>0</v>
      </c>
      <c r="I50" s="19" t="str">
        <f>IF(ISBLANK('Contactos Agua Celica'!F48)," ","0")</f>
        <v>0</v>
      </c>
    </row>
    <row r="51" spans="1:9" x14ac:dyDescent="0.3">
      <c r="A51" s="19" t="s">
        <v>665</v>
      </c>
      <c r="B51" s="20" t="str">
        <f>IF(ISBLANK('Contactos Agua Celica'!F49),"",'Contactos Agua Celica'!F49)</f>
        <v>Bisque Seco</v>
      </c>
      <c r="C51" s="18" t="str">
        <f>IF(ISBLANK('Contactos Agua Celica'!G49),"",'Contactos Agua Celica'!G49)</f>
        <v>+593 98 914 7781</v>
      </c>
      <c r="D51" s="19" t="str">
        <f>IF(ISBLANK('Contactos Agua Celica'!H49),"",MID('Contactos Agua Celica'!H49,1,FIND(",",'Contactos Agua Celica'!H49,1)-1))</f>
        <v/>
      </c>
      <c r="E51" s="19" t="str">
        <f>IF(ISBLANK('Contactos Agua Celica'!H49),"",MID('Contactos Agua Celica'!H49,FIND(",",'Contactos Agua Celica'!H49,1)+1,LEN('Contactos Agua Celica'!H49)))</f>
        <v/>
      </c>
      <c r="F51" s="11" t="s">
        <v>1267</v>
      </c>
      <c r="G51" s="19" t="str">
        <f>IF(ISBLANK('Contactos Agua Celica'!F49)," ","false")</f>
        <v>false</v>
      </c>
      <c r="H51" s="19" t="str">
        <f>IF(ISBLANK('Contactos Agua Celica'!F49)," ","0")</f>
        <v>0</v>
      </c>
      <c r="I51" s="19" t="str">
        <f>IF(ISBLANK('Contactos Agua Celica'!F49)," ","0")</f>
        <v>0</v>
      </c>
    </row>
    <row r="52" spans="1:9" x14ac:dyDescent="0.3">
      <c r="A52" s="19" t="s">
        <v>666</v>
      </c>
      <c r="B52" s="20" t="str">
        <f>IF(ISBLANK('Contactos Agua Celica'!F50),"",'Contactos Agua Celica'!F50)</f>
        <v>Blanca Jumbo</v>
      </c>
      <c r="C52" s="18" t="str">
        <f>IF(ISBLANK('Contactos Agua Celica'!G50),"",'Contactos Agua Celica'!G50)</f>
        <v>099 330 8710</v>
      </c>
      <c r="D52" s="19" t="e">
        <f>IF(ISBLANK('Contactos Agua Celica'!H50),"",MID('Contactos Agua Celica'!H50,1,FIND(",",'Contactos Agua Celica'!H50,1)-1))</f>
        <v>#VALUE!</v>
      </c>
      <c r="E52" s="19" t="e">
        <f>IF(ISBLANK('Contactos Agua Celica'!H50),"",MID('Contactos Agua Celica'!H50,FIND(",",'Contactos Agua Celica'!H50,1)+1,LEN('Contactos Agua Celica'!H50)))</f>
        <v>#VALUE!</v>
      </c>
      <c r="F52" s="11" t="s">
        <v>1267</v>
      </c>
      <c r="G52" s="19" t="str">
        <f>IF(ISBLANK('Contactos Agua Celica'!F50)," ","false")</f>
        <v>false</v>
      </c>
      <c r="H52" s="19" t="str">
        <f>IF(ISBLANK('Contactos Agua Celica'!F50)," ","0")</f>
        <v>0</v>
      </c>
      <c r="I52" s="19" t="str">
        <f>IF(ISBLANK('Contactos Agua Celica'!F50)," ","0")</f>
        <v>0</v>
      </c>
    </row>
    <row r="53" spans="1:9" x14ac:dyDescent="0.3">
      <c r="A53" s="19" t="s">
        <v>667</v>
      </c>
      <c r="B53" s="20" t="str">
        <f>IF(ISBLANK('Contactos Agua Celica'!F51),"",'Contactos Agua Celica'!F51)</f>
        <v>Blanca Torres</v>
      </c>
      <c r="C53" s="18" t="str">
        <f>IF(ISBLANK('Contactos Agua Celica'!G51),"",'Contactos Agua Celica'!G51)</f>
        <v>+593 96 701 6702</v>
      </c>
      <c r="D53" s="19" t="str">
        <f>IF(ISBLANK('Contactos Agua Celica'!H51),"",MID('Contactos Agua Celica'!H51,1,FIND(",",'Contactos Agua Celica'!H51,1)-1))</f>
        <v/>
      </c>
      <c r="E53" s="19" t="str">
        <f>IF(ISBLANK('Contactos Agua Celica'!H51),"",MID('Contactos Agua Celica'!H51,FIND(",",'Contactos Agua Celica'!H51,1)+1,LEN('Contactos Agua Celica'!H51)))</f>
        <v/>
      </c>
      <c r="F53" s="11" t="s">
        <v>1261</v>
      </c>
      <c r="G53" s="19" t="str">
        <f>IF(ISBLANK('Contactos Agua Celica'!F51)," ","false")</f>
        <v>false</v>
      </c>
      <c r="H53" s="19" t="str">
        <f>IF(ISBLANK('Contactos Agua Celica'!F51)," ","0")</f>
        <v>0</v>
      </c>
      <c r="I53" s="19" t="str">
        <f>IF(ISBLANK('Contactos Agua Celica'!F51)," ","0")</f>
        <v>0</v>
      </c>
    </row>
    <row r="54" spans="1:9" x14ac:dyDescent="0.3">
      <c r="A54" s="19" t="s">
        <v>668</v>
      </c>
      <c r="B54" s="20" t="str">
        <f>IF(ISBLANK('Contactos Agua Celica'!F52),"",'Contactos Agua Celica'!F52)</f>
        <v>Blanca zatama</v>
      </c>
      <c r="C54" s="18" t="str">
        <f>IF(ISBLANK('Contactos Agua Celica'!G52),"",'Contactos Agua Celica'!G52)</f>
        <v>+593 98 708 5357</v>
      </c>
      <c r="D54" s="19" t="str">
        <f>IF(ISBLANK('Contactos Agua Celica'!H52),"",MID('Contactos Agua Celica'!H52,1,FIND(",",'Contactos Agua Celica'!H52,1)-1))</f>
        <v>-4.102956618388297</v>
      </c>
      <c r="E54" s="19" t="str">
        <f>IF(ISBLANK('Contactos Agua Celica'!H52),"",MID('Contactos Agua Celica'!H52,FIND(",",'Contactos Agua Celica'!H52,1)+1,LEN('Contactos Agua Celica'!H52)))</f>
        <v xml:space="preserve"> -79.95662721646568</v>
      </c>
      <c r="F54" s="11" t="s">
        <v>1261</v>
      </c>
      <c r="G54" s="19" t="str">
        <f>IF(ISBLANK('Contactos Agua Celica'!F52)," ","false")</f>
        <v>false</v>
      </c>
      <c r="H54" s="19" t="str">
        <f>IF(ISBLANK('Contactos Agua Celica'!F52)," ","0")</f>
        <v>0</v>
      </c>
      <c r="I54" s="19" t="str">
        <f>IF(ISBLANK('Contactos Agua Celica'!F52)," ","0")</f>
        <v>0</v>
      </c>
    </row>
    <row r="55" spans="1:9" x14ac:dyDescent="0.3">
      <c r="A55" s="19" t="s">
        <v>669</v>
      </c>
      <c r="B55" s="20" t="str">
        <f>IF(ISBLANK('Contactos Agua Celica'!F53),"",'Contactos Agua Celica'!F53)</f>
        <v>Blanca Zatama 2</v>
      </c>
      <c r="C55" s="18" t="str">
        <f>IF(ISBLANK('Contactos Agua Celica'!G53),"",'Contactos Agua Celica'!G53)</f>
        <v>+593 98 257 3725</v>
      </c>
      <c r="D55" s="19" t="str">
        <f>IF(ISBLANK('Contactos Agua Celica'!H53),"",MID('Contactos Agua Celica'!H53,1,FIND(",",'Contactos Agua Celica'!H53,1)-1))</f>
        <v/>
      </c>
      <c r="E55" s="19" t="str">
        <f>IF(ISBLANK('Contactos Agua Celica'!H53),"",MID('Contactos Agua Celica'!H53,FIND(",",'Contactos Agua Celica'!H53,1)+1,LEN('Contactos Agua Celica'!H53)))</f>
        <v/>
      </c>
      <c r="F55" s="11" t="s">
        <v>1258</v>
      </c>
      <c r="G55" s="19" t="str">
        <f>IF(ISBLANK('Contactos Agua Celica'!F53)," ","false")</f>
        <v>false</v>
      </c>
      <c r="H55" s="19" t="str">
        <f>IF(ISBLANK('Contactos Agua Celica'!F53)," ","0")</f>
        <v>0</v>
      </c>
      <c r="I55" s="19" t="str">
        <f>IF(ISBLANK('Contactos Agua Celica'!F53)," ","0")</f>
        <v>0</v>
      </c>
    </row>
    <row r="56" spans="1:9" x14ac:dyDescent="0.3">
      <c r="A56" s="19" t="s">
        <v>670</v>
      </c>
      <c r="B56" s="20" t="str">
        <f>IF(ISBLANK('Contactos Agua Celica'!F54),"",'Contactos Agua Celica'!F54)</f>
        <v>Brit Villa 221</v>
      </c>
      <c r="C56" s="18" t="str">
        <f>IF(ISBLANK('Contactos Agua Celica'!G54),"",'Contactos Agua Celica'!G54)</f>
        <v>+593 98 864 2968</v>
      </c>
      <c r="D56" s="19" t="str">
        <f>IF(ISBLANK('Contactos Agua Celica'!H54),"",MID('Contactos Agua Celica'!H54,1,FIND(",",'Contactos Agua Celica'!H54,1)-1))</f>
        <v>-4.098858382470721</v>
      </c>
      <c r="E56" s="19" t="str">
        <f>IF(ISBLANK('Contactos Agua Celica'!H54),"",MID('Contactos Agua Celica'!H54,FIND(",",'Contactos Agua Celica'!H54,1)+1,LEN('Contactos Agua Celica'!H54)))</f>
        <v xml:space="preserve"> -79.95841432793254</v>
      </c>
      <c r="F56" s="11" t="s">
        <v>1267</v>
      </c>
      <c r="G56" s="19" t="str">
        <f>IF(ISBLANK('Contactos Agua Celica'!F54)," ","false")</f>
        <v>false</v>
      </c>
      <c r="H56" s="19" t="str">
        <f>IF(ISBLANK('Contactos Agua Celica'!F54)," ","0")</f>
        <v>0</v>
      </c>
      <c r="I56" s="19" t="str">
        <f>IF(ISBLANK('Contactos Agua Celica'!F54)," ","0")</f>
        <v>0</v>
      </c>
    </row>
    <row r="57" spans="1:9" x14ac:dyDescent="0.3">
      <c r="A57" s="19" t="s">
        <v>671</v>
      </c>
      <c r="B57" s="20" t="str">
        <f>IF(ISBLANK('Contactos Agua Celica'!F55),"",'Contactos Agua Celica'!F55)</f>
        <v>Buca</v>
      </c>
      <c r="C57" s="18" t="str">
        <f>IF(ISBLANK('Contactos Agua Celica'!G55),"",'Contactos Agua Celica'!G55)</f>
        <v>0988711049</v>
      </c>
      <c r="D57" s="19" t="str">
        <f>IF(ISBLANK('Contactos Agua Celica'!H55),"",MID('Contactos Agua Celica'!H55,1,FIND(",",'Contactos Agua Celica'!H55,1)-1))</f>
        <v>-4.103416561278307</v>
      </c>
      <c r="E57" s="19" t="str">
        <f>IF(ISBLANK('Contactos Agua Celica'!H55),"",MID('Contactos Agua Celica'!H55,FIND(",",'Contactos Agua Celica'!H55,1)+1,LEN('Contactos Agua Celica'!H55)))</f>
        <v xml:space="preserve"> -79.95444303218541</v>
      </c>
      <c r="F57" s="11" t="s">
        <v>1268</v>
      </c>
      <c r="G57" s="19" t="str">
        <f>IF(ISBLANK('Contactos Agua Celica'!F55)," ","false")</f>
        <v>false</v>
      </c>
      <c r="H57" s="19" t="str">
        <f>IF(ISBLANK('Contactos Agua Celica'!F55)," ","0")</f>
        <v>0</v>
      </c>
      <c r="I57" s="19" t="str">
        <f>IF(ISBLANK('Contactos Agua Celica'!F55)," ","0")</f>
        <v>0</v>
      </c>
    </row>
    <row r="58" spans="1:9" x14ac:dyDescent="0.3">
      <c r="A58" s="19" t="s">
        <v>672</v>
      </c>
      <c r="B58" s="20" t="str">
        <f>IF(ISBLANK('Contactos Agua Celica'!F56),"",'Contactos Agua Celica'!F56)</f>
        <v>Bustamante</v>
      </c>
      <c r="C58" s="18" t="str">
        <f>IF(ISBLANK('Contactos Agua Celica'!G56),"",'Contactos Agua Celica'!G56)</f>
        <v>+593 99 746 3937</v>
      </c>
      <c r="D58" s="19" t="str">
        <f>IF(ISBLANK('Contactos Agua Celica'!H56),"",MID('Contactos Agua Celica'!H56,1,FIND(",",'Contactos Agua Celica'!H56,1)-1))</f>
        <v/>
      </c>
      <c r="E58" s="19" t="str">
        <f>IF(ISBLANK('Contactos Agua Celica'!H56),"",MID('Contactos Agua Celica'!H56,FIND(",",'Contactos Agua Celica'!H56,1)+1,LEN('Contactos Agua Celica'!H56)))</f>
        <v/>
      </c>
      <c r="F58" s="11" t="s">
        <v>1267</v>
      </c>
      <c r="G58" s="19" t="str">
        <f>IF(ISBLANK('Contactos Agua Celica'!F56)," ","false")</f>
        <v>false</v>
      </c>
      <c r="H58" s="19" t="str">
        <f>IF(ISBLANK('Contactos Agua Celica'!F56)," ","0")</f>
        <v>0</v>
      </c>
      <c r="I58" s="19" t="str">
        <f>IF(ISBLANK('Contactos Agua Celica'!F56)," ","0")</f>
        <v>0</v>
      </c>
    </row>
    <row r="59" spans="1:9" x14ac:dyDescent="0.3">
      <c r="A59" s="19" t="s">
        <v>673</v>
      </c>
      <c r="B59" s="20" t="str">
        <f>IF(ISBLANK('Contactos Agua Celica'!F57),"",'Contactos Agua Celica'!F57)</f>
        <v>Byron Mora</v>
      </c>
      <c r="C59" s="18" t="str">
        <f>IF(ISBLANK('Contactos Agua Celica'!G57),"",'Contactos Agua Celica'!G57)</f>
        <v>+593 98 535 8498</v>
      </c>
      <c r="D59" s="19" t="str">
        <f>IF(ISBLANK('Contactos Agua Celica'!H57),"",MID('Contactos Agua Celica'!H57,1,FIND(",",'Contactos Agua Celica'!H57,1)-1))</f>
        <v>-4.103904925102474</v>
      </c>
      <c r="E59" s="19" t="str">
        <f>IF(ISBLANK('Contactos Agua Celica'!H57),"",MID('Contactos Agua Celica'!H57,FIND(",",'Contactos Agua Celica'!H57,1)+1,LEN('Contactos Agua Celica'!H57)))</f>
        <v xml:space="preserve"> -79.95553687373686</v>
      </c>
      <c r="F59" s="11" t="s">
        <v>1262</v>
      </c>
      <c r="G59" s="19" t="str">
        <f>IF(ISBLANK('Contactos Agua Celica'!F57)," ","false")</f>
        <v>false</v>
      </c>
      <c r="H59" s="19" t="str">
        <f>IF(ISBLANK('Contactos Agua Celica'!F57)," ","0")</f>
        <v>0</v>
      </c>
      <c r="I59" s="19" t="str">
        <f>IF(ISBLANK('Contactos Agua Celica'!F57)," ","0")</f>
        <v>0</v>
      </c>
    </row>
    <row r="60" spans="1:9" x14ac:dyDescent="0.3">
      <c r="A60" s="19" t="s">
        <v>674</v>
      </c>
      <c r="B60" s="20" t="str">
        <f>IF(ISBLANK('Contactos Agua Celica'!F58),"",'Contactos Agua Celica'!F58)</f>
        <v>Canario</v>
      </c>
      <c r="C60" s="18" t="str">
        <f>IF(ISBLANK('Contactos Agua Celica'!G58),"",'Contactos Agua Celica'!G58)</f>
        <v>098 067 8686</v>
      </c>
      <c r="D60" s="19" t="str">
        <f>IF(ISBLANK('Contactos Agua Celica'!H58),"",MID('Contactos Agua Celica'!H58,1,FIND(",",'Contactos Agua Celica'!H58,1)-1))</f>
        <v>-4.101815024402959</v>
      </c>
      <c r="E60" s="19" t="str">
        <f>IF(ISBLANK('Contactos Agua Celica'!H58),"",MID('Contactos Agua Celica'!H58,FIND(",",'Contactos Agua Celica'!H58,1)+1,LEN('Contactos Agua Celica'!H58)))</f>
        <v xml:space="preserve"> -79.95795682727332</v>
      </c>
      <c r="F60" s="11" t="s">
        <v>1256</v>
      </c>
      <c r="G60" s="19" t="str">
        <f>IF(ISBLANK('Contactos Agua Celica'!F58)," ","false")</f>
        <v>false</v>
      </c>
      <c r="H60" s="19" t="str">
        <f>IF(ISBLANK('Contactos Agua Celica'!F58)," ","0")</f>
        <v>0</v>
      </c>
      <c r="I60" s="19" t="str">
        <f>IF(ISBLANK('Contactos Agua Celica'!F58)," ","0")</f>
        <v>0</v>
      </c>
    </row>
    <row r="61" spans="1:9" x14ac:dyDescent="0.3">
      <c r="A61" s="19" t="s">
        <v>675</v>
      </c>
      <c r="B61" s="20" t="str">
        <f>IF(ISBLANK('Contactos Agua Celica'!F59),"",'Contactos Agua Celica'!F59)</f>
        <v>Canario 2</v>
      </c>
      <c r="C61" s="18" t="str">
        <f>IF(ISBLANK('Contactos Agua Celica'!G59),"",'Contactos Agua Celica'!G59)</f>
        <v>+593 98 653 5237</v>
      </c>
      <c r="D61" s="19" t="str">
        <f>IF(ISBLANK('Contactos Agua Celica'!H59),"",MID('Contactos Agua Celica'!H59,1,FIND(",",'Contactos Agua Celica'!H59,1)-1))</f>
        <v>-4.101815024402959</v>
      </c>
      <c r="E61" s="19" t="str">
        <f>IF(ISBLANK('Contactos Agua Celica'!H59),"",MID('Contactos Agua Celica'!H59,FIND(",",'Contactos Agua Celica'!H59,1)+1,LEN('Contactos Agua Celica'!H59)))</f>
        <v xml:space="preserve"> -79.95795682727332</v>
      </c>
      <c r="F61" s="11" t="s">
        <v>1267</v>
      </c>
      <c r="G61" s="19" t="str">
        <f>IF(ISBLANK('Contactos Agua Celica'!F59)," ","false")</f>
        <v>false</v>
      </c>
      <c r="H61" s="19" t="str">
        <f>IF(ISBLANK('Contactos Agua Celica'!F59)," ","0")</f>
        <v>0</v>
      </c>
      <c r="I61" s="19" t="str">
        <f>IF(ISBLANK('Contactos Agua Celica'!F59)," ","0")</f>
        <v>0</v>
      </c>
    </row>
    <row r="62" spans="1:9" x14ac:dyDescent="0.3">
      <c r="A62" s="19" t="s">
        <v>676</v>
      </c>
      <c r="B62" s="20" t="str">
        <f>IF(ISBLANK('Contactos Agua Celica'!F60),"",'Contactos Agua Celica'!F60)</f>
        <v>Carlos Alvear</v>
      </c>
      <c r="C62" s="18" t="str">
        <f>IF(ISBLANK('Contactos Agua Celica'!G60),"",'Contactos Agua Celica'!G60)</f>
        <v>+593 98 947 0830</v>
      </c>
      <c r="D62" s="19" t="str">
        <f>IF(ISBLANK('Contactos Agua Celica'!H60),"",MID('Contactos Agua Celica'!H60,1,FIND(",",'Contactos Agua Celica'!H60,1)-1))</f>
        <v>-4.102720867039337</v>
      </c>
      <c r="E62" s="19" t="str">
        <f>IF(ISBLANK('Contactos Agua Celica'!H60),"",MID('Contactos Agua Celica'!H60,FIND(",",'Contactos Agua Celica'!H60,1)+1,LEN('Contactos Agua Celica'!H60)))</f>
        <v xml:space="preserve"> -79.95294427013214</v>
      </c>
      <c r="F62" s="11" t="s">
        <v>1267</v>
      </c>
      <c r="G62" s="19" t="str">
        <f>IF(ISBLANK('Contactos Agua Celica'!F60)," ","false")</f>
        <v>false</v>
      </c>
      <c r="H62" s="19" t="str">
        <f>IF(ISBLANK('Contactos Agua Celica'!F60)," ","0")</f>
        <v>0</v>
      </c>
      <c r="I62" s="19" t="str">
        <f>IF(ISBLANK('Contactos Agua Celica'!F60)," ","0")</f>
        <v>0</v>
      </c>
    </row>
    <row r="63" spans="1:9" x14ac:dyDescent="0.3">
      <c r="A63" s="19" t="s">
        <v>677</v>
      </c>
      <c r="B63" s="20" t="str">
        <f>IF(ISBLANK('Contactos Agua Celica'!F61),"",'Contactos Agua Celica'!F61)</f>
        <v>Carlos Julio</v>
      </c>
      <c r="C63" s="18" t="str">
        <f>IF(ISBLANK('Contactos Agua Celica'!G61),"",'Contactos Agua Celica'!G61)</f>
        <v>+593 98 507 4901</v>
      </c>
      <c r="D63" s="19" t="str">
        <f>IF(ISBLANK('Contactos Agua Celica'!H61),"",MID('Contactos Agua Celica'!H61,1,FIND(",",'Contactos Agua Celica'!H61,1)-1))</f>
        <v>-4.102403335963554</v>
      </c>
      <c r="E63" s="19" t="str">
        <f>IF(ISBLANK('Contactos Agua Celica'!H61),"",MID('Contactos Agua Celica'!H61,FIND(",",'Contactos Agua Celica'!H61,1)+1,LEN('Contactos Agua Celica'!H61)))</f>
        <v xml:space="preserve"> -79.95648636129765</v>
      </c>
      <c r="F63" s="11" t="s">
        <v>1257</v>
      </c>
      <c r="G63" s="19" t="str">
        <f>IF(ISBLANK('Contactos Agua Celica'!F61)," ","false")</f>
        <v>false</v>
      </c>
      <c r="H63" s="19" t="str">
        <f>IF(ISBLANK('Contactos Agua Celica'!F61)," ","0")</f>
        <v>0</v>
      </c>
      <c r="I63" s="19" t="str">
        <f>IF(ISBLANK('Contactos Agua Celica'!F61)," ","0")</f>
        <v>0</v>
      </c>
    </row>
    <row r="64" spans="1:9" x14ac:dyDescent="0.3">
      <c r="A64" s="19" t="s">
        <v>678</v>
      </c>
      <c r="B64" s="20" t="str">
        <f>IF(ISBLANK('Contactos Agua Celica'!F62),"",'Contactos Agua Celica'!F62)</f>
        <v>Carlos Pazmiño</v>
      </c>
      <c r="C64" s="18" t="str">
        <f>IF(ISBLANK('Contactos Agua Celica'!G62),"",'Contactos Agua Celica'!G62)</f>
        <v>099 117 1271</v>
      </c>
      <c r="D64" s="19" t="str">
        <f>IF(ISBLANK('Contactos Agua Celica'!H62),"",MID('Contactos Agua Celica'!H62,1,FIND(",",'Contactos Agua Celica'!H62,1)-1))</f>
        <v>-4.100536567036624</v>
      </c>
      <c r="E64" s="19" t="str">
        <f>IF(ISBLANK('Contactos Agua Celica'!H62),"",MID('Contactos Agua Celica'!H62,FIND(",",'Contactos Agua Celica'!H62,1)+1,LEN('Contactos Agua Celica'!H62)))</f>
        <v xml:space="preserve"> -79.9579695518886</v>
      </c>
      <c r="F64" s="11" t="s">
        <v>1267</v>
      </c>
      <c r="G64" s="19" t="str">
        <f>IF(ISBLANK('Contactos Agua Celica'!F62)," ","false")</f>
        <v>false</v>
      </c>
      <c r="H64" s="19" t="str">
        <f>IF(ISBLANK('Contactos Agua Celica'!F62)," ","0")</f>
        <v>0</v>
      </c>
      <c r="I64" s="19" t="str">
        <f>IF(ISBLANK('Contactos Agua Celica'!F62)," ","0")</f>
        <v>0</v>
      </c>
    </row>
    <row r="65" spans="1:9" x14ac:dyDescent="0.3">
      <c r="A65" s="19" t="s">
        <v>679</v>
      </c>
      <c r="B65" s="20" t="str">
        <f>IF(ISBLANK('Contactos Agua Celica'!F63),"",'Contactos Agua Celica'!F63)</f>
        <v>Carlos Real 🥰</v>
      </c>
      <c r="C65" s="18" t="str">
        <f>IF(ISBLANK('Contactos Agua Celica'!G63),"",'Contactos Agua Celica'!G63)</f>
        <v>+593 98 587 2422</v>
      </c>
      <c r="D65" s="19" t="str">
        <f>IF(ISBLANK('Contactos Agua Celica'!H63),"",MID('Contactos Agua Celica'!H63,1,FIND(",",'Contactos Agua Celica'!H63,1)-1))</f>
        <v>-4.102865050109161</v>
      </c>
      <c r="E65" s="19" t="str">
        <f>IF(ISBLANK('Contactos Agua Celica'!H63),"",MID('Contactos Agua Celica'!H63,FIND(",",'Contactos Agua Celica'!H63,1)+1,LEN('Contactos Agua Celica'!H63)))</f>
        <v xml:space="preserve"> -79.95843810834357</v>
      </c>
      <c r="F65" s="11" t="s">
        <v>1267</v>
      </c>
      <c r="G65" s="19" t="str">
        <f>IF(ISBLANK('Contactos Agua Celica'!F63)," ","false")</f>
        <v>false</v>
      </c>
      <c r="H65" s="19" t="str">
        <f>IF(ISBLANK('Contactos Agua Celica'!F63)," ","0")</f>
        <v>0</v>
      </c>
      <c r="I65" s="19" t="str">
        <f>IF(ISBLANK('Contactos Agua Celica'!F63)," ","0")</f>
        <v>0</v>
      </c>
    </row>
    <row r="66" spans="1:9" x14ac:dyDescent="0.3">
      <c r="A66" s="19" t="s">
        <v>680</v>
      </c>
      <c r="B66" s="20" t="str">
        <f>IF(ISBLANK('Contactos Agua Celica'!F64),"",'Contactos Agua Celica'!F64)</f>
        <v>Carmen 9 De Diciembre</v>
      </c>
      <c r="C66" s="18" t="str">
        <f>IF(ISBLANK('Contactos Agua Celica'!G64),"",'Contactos Agua Celica'!G64)</f>
        <v>+593 96 990 2251</v>
      </c>
      <c r="D66" s="19" t="str">
        <f>IF(ISBLANK('Contactos Agua Celica'!H64),"",MID('Contactos Agua Celica'!H64,1,FIND(",",'Contactos Agua Celica'!H64,1)-1))</f>
        <v/>
      </c>
      <c r="E66" s="19" t="str">
        <f>IF(ISBLANK('Contactos Agua Celica'!H64),"",MID('Contactos Agua Celica'!H64,FIND(",",'Contactos Agua Celica'!H64,1)+1,LEN('Contactos Agua Celica'!H64)))</f>
        <v/>
      </c>
      <c r="F66" s="11" t="s">
        <v>1267</v>
      </c>
      <c r="G66" s="19" t="str">
        <f>IF(ISBLANK('Contactos Agua Celica'!F64)," ","false")</f>
        <v>false</v>
      </c>
      <c r="H66" s="19" t="str">
        <f>IF(ISBLANK('Contactos Agua Celica'!F64)," ","0")</f>
        <v>0</v>
      </c>
      <c r="I66" s="19" t="str">
        <f>IF(ISBLANK('Contactos Agua Celica'!F64)," ","0")</f>
        <v>0</v>
      </c>
    </row>
    <row r="67" spans="1:9" x14ac:dyDescent="0.3">
      <c r="A67" s="19" t="s">
        <v>681</v>
      </c>
      <c r="B67" s="20" t="str">
        <f>IF(ISBLANK('Contactos Agua Celica'!F65),"",'Contactos Agua Celica'!F65)</f>
        <v>Carmen Sanchez</v>
      </c>
      <c r="C67" s="18" t="str">
        <f>IF(ISBLANK('Contactos Agua Celica'!G65),"",'Contactos Agua Celica'!G65)</f>
        <v>+593 93 999 9874</v>
      </c>
      <c r="D67" s="19" t="str">
        <f>IF(ISBLANK('Contactos Agua Celica'!H65),"",MID('Contactos Agua Celica'!H65,1,FIND(",",'Contactos Agua Celica'!H65,1)-1))</f>
        <v/>
      </c>
      <c r="E67" s="19" t="str">
        <f>IF(ISBLANK('Contactos Agua Celica'!H65),"",MID('Contactos Agua Celica'!H65,FIND(",",'Contactos Agua Celica'!H65,1)+1,LEN('Contactos Agua Celica'!H65)))</f>
        <v/>
      </c>
      <c r="F67" s="11" t="s">
        <v>1267</v>
      </c>
      <c r="G67" s="19" t="str">
        <f>IF(ISBLANK('Contactos Agua Celica'!F65)," ","false")</f>
        <v>false</v>
      </c>
      <c r="H67" s="19" t="str">
        <f>IF(ISBLANK('Contactos Agua Celica'!F65)," ","0")</f>
        <v>0</v>
      </c>
      <c r="I67" s="19" t="str">
        <f>IF(ISBLANK('Contactos Agua Celica'!F65)," ","0")</f>
        <v>0</v>
      </c>
    </row>
    <row r="68" spans="1:9" x14ac:dyDescent="0.3">
      <c r="A68" s="19" t="s">
        <v>682</v>
      </c>
      <c r="B68" s="20" t="str">
        <f>IF(ISBLANK('Contactos Agua Celica'!F66),"",'Contactos Agua Celica'!F66)</f>
        <v>Carmita Guaman</v>
      </c>
      <c r="C68" s="18" t="str">
        <f>IF(ISBLANK('Contactos Agua Celica'!G66),"",'Contactos Agua Celica'!G66)</f>
        <v>+593 96 000 4623</v>
      </c>
      <c r="D68" s="19" t="str">
        <f>IF(ISBLANK('Contactos Agua Celica'!H66),"",MID('Contactos Agua Celica'!H66,1,FIND(",",'Contactos Agua Celica'!H66,1)-1))</f>
        <v/>
      </c>
      <c r="E68" s="19" t="str">
        <f>IF(ISBLANK('Contactos Agua Celica'!H66),"",MID('Contactos Agua Celica'!H66,FIND(",",'Contactos Agua Celica'!H66,1)+1,LEN('Contactos Agua Celica'!H66)))</f>
        <v/>
      </c>
      <c r="F68" s="11" t="s">
        <v>1267</v>
      </c>
      <c r="G68" s="19" t="str">
        <f>IF(ISBLANK('Contactos Agua Celica'!F66)," ","false")</f>
        <v>false</v>
      </c>
      <c r="H68" s="19" t="str">
        <f>IF(ISBLANK('Contactos Agua Celica'!F66)," ","0")</f>
        <v>0</v>
      </c>
      <c r="I68" s="19" t="str">
        <f>IF(ISBLANK('Contactos Agua Celica'!F66)," ","0")</f>
        <v>0</v>
      </c>
    </row>
    <row r="69" spans="1:9" x14ac:dyDescent="0.3">
      <c r="A69" s="19" t="s">
        <v>683</v>
      </c>
      <c r="B69" s="20" t="str">
        <f>IF(ISBLANK('Contactos Agua Celica'!F67),"",'Contactos Agua Celica'!F67)</f>
        <v>Carmita Luna</v>
      </c>
      <c r="C69" s="18" t="str">
        <f>IF(ISBLANK('Contactos Agua Celica'!G67),"",'Contactos Agua Celica'!G67)</f>
        <v>+593 99 057 6356</v>
      </c>
      <c r="D69" s="19" t="str">
        <f>IF(ISBLANK('Contactos Agua Celica'!H67),"",MID('Contactos Agua Celica'!H67,1,FIND(",",'Contactos Agua Celica'!H67,1)-1))</f>
        <v/>
      </c>
      <c r="E69" s="19" t="str">
        <f>IF(ISBLANK('Contactos Agua Celica'!H67),"",MID('Contactos Agua Celica'!H67,FIND(",",'Contactos Agua Celica'!H67,1)+1,LEN('Contactos Agua Celica'!H67)))</f>
        <v/>
      </c>
      <c r="F69" s="11" t="s">
        <v>1267</v>
      </c>
      <c r="G69" s="19" t="str">
        <f>IF(ISBLANK('Contactos Agua Celica'!F67)," ","false")</f>
        <v>false</v>
      </c>
      <c r="H69" s="19" t="str">
        <f>IF(ISBLANK('Contactos Agua Celica'!F67)," ","0")</f>
        <v>0</v>
      </c>
      <c r="I69" s="19" t="str">
        <f>IF(ISBLANK('Contactos Agua Celica'!F67)," ","0")</f>
        <v>0</v>
      </c>
    </row>
    <row r="70" spans="1:9" x14ac:dyDescent="0.3">
      <c r="A70" s="19" t="s">
        <v>684</v>
      </c>
      <c r="B70" s="20" t="str">
        <f>IF(ISBLANK('Contactos Agua Celica'!F68),"",'Contactos Agua Celica'!F68)</f>
        <v>Carolina Churro</v>
      </c>
      <c r="C70" s="18" t="str">
        <f>IF(ISBLANK('Contactos Agua Celica'!G68),"",'Contactos Agua Celica'!G68)</f>
        <v>0967085804</v>
      </c>
      <c r="D70" s="19" t="str">
        <f>IF(ISBLANK('Contactos Agua Celica'!H68),"",MID('Contactos Agua Celica'!H68,1,FIND(",",'Contactos Agua Celica'!H68,1)-1))</f>
        <v>-4.100362309992132</v>
      </c>
      <c r="E70" s="19" t="str">
        <f>IF(ISBLANK('Contactos Agua Celica'!H68),"",MID('Contactos Agua Celica'!H68,FIND(",",'Contactos Agua Celica'!H68,1)+1,LEN('Contactos Agua Celica'!H68)))</f>
        <v xml:space="preserve"> -79.95595182739584</v>
      </c>
      <c r="F70" s="11" t="s">
        <v>1267</v>
      </c>
      <c r="G70" s="19" t="str">
        <f>IF(ISBLANK('Contactos Agua Celica'!F68)," ","false")</f>
        <v>false</v>
      </c>
      <c r="H70" s="19" t="str">
        <f>IF(ISBLANK('Contactos Agua Celica'!F68)," ","0")</f>
        <v>0</v>
      </c>
      <c r="I70" s="19" t="str">
        <f>IF(ISBLANK('Contactos Agua Celica'!F68)," ","0")</f>
        <v>0</v>
      </c>
    </row>
    <row r="71" spans="1:9" x14ac:dyDescent="0.3">
      <c r="A71" s="19" t="s">
        <v>685</v>
      </c>
      <c r="B71" s="20" t="str">
        <f>IF(ISBLANK('Contactos Agua Celica'!F69),"",'Contactos Agua Celica'!F69)</f>
        <v>Carolina Silva</v>
      </c>
      <c r="C71" s="18" t="str">
        <f>IF(ISBLANK('Contactos Agua Celica'!G69),"",'Contactos Agua Celica'!G69)</f>
        <v>+593 98 364 9092</v>
      </c>
      <c r="D71" s="19" t="str">
        <f>IF(ISBLANK('Contactos Agua Celica'!H69),"",MID('Contactos Agua Celica'!H69,1,FIND(",",'Contactos Agua Celica'!H69,1)-1))</f>
        <v>-4.098267327845029</v>
      </c>
      <c r="E71" s="19" t="str">
        <f>IF(ISBLANK('Contactos Agua Celica'!H69),"",MID('Contactos Agua Celica'!H69,FIND(",",'Contactos Agua Celica'!H69,1)+1,LEN('Contactos Agua Celica'!H69)))</f>
        <v xml:space="preserve"> -79.9579948345824</v>
      </c>
      <c r="F71" s="11" t="s">
        <v>1267</v>
      </c>
      <c r="G71" s="19" t="str">
        <f>IF(ISBLANK('Contactos Agua Celica'!F69)," ","false")</f>
        <v>false</v>
      </c>
      <c r="H71" s="19" t="str">
        <f>IF(ISBLANK('Contactos Agua Celica'!F69)," ","0")</f>
        <v>0</v>
      </c>
      <c r="I71" s="19" t="str">
        <f>IF(ISBLANK('Contactos Agua Celica'!F69)," ","0")</f>
        <v>0</v>
      </c>
    </row>
    <row r="72" spans="1:9" x14ac:dyDescent="0.3">
      <c r="A72" s="19" t="s">
        <v>686</v>
      </c>
      <c r="B72" s="20" t="str">
        <f>IF(ISBLANK('Contactos Agua Celica'!F70),"",'Contactos Agua Celica'!F70)</f>
        <v>Cecilia Las Palmas</v>
      </c>
      <c r="C72" s="18" t="str">
        <f>IF(ISBLANK('Contactos Agua Celica'!G70),"",'Contactos Agua Celica'!G70)</f>
        <v>099 414 1243</v>
      </c>
      <c r="D72" s="19" t="str">
        <f>IF(ISBLANK('Contactos Agua Celica'!H70),"",MID('Contactos Agua Celica'!H70,1,FIND(",",'Contactos Agua Celica'!H70,1)-1))</f>
        <v/>
      </c>
      <c r="E72" s="19" t="str">
        <f>IF(ISBLANK('Contactos Agua Celica'!H70),"",MID('Contactos Agua Celica'!H70,FIND(",",'Contactos Agua Celica'!H70,1)+1,LEN('Contactos Agua Celica'!H70)))</f>
        <v/>
      </c>
      <c r="F72" s="11" t="s">
        <v>1267</v>
      </c>
      <c r="G72" s="19" t="str">
        <f>IF(ISBLANK('Contactos Agua Celica'!F70)," ","false")</f>
        <v>false</v>
      </c>
      <c r="H72" s="19" t="str">
        <f>IF(ISBLANK('Contactos Agua Celica'!F70)," ","0")</f>
        <v>0</v>
      </c>
      <c r="I72" s="19" t="str">
        <f>IF(ISBLANK('Contactos Agua Celica'!F70)," ","0")</f>
        <v>0</v>
      </c>
    </row>
    <row r="73" spans="1:9" x14ac:dyDescent="0.3">
      <c r="A73" s="19" t="s">
        <v>687</v>
      </c>
      <c r="B73" s="20" t="str">
        <f>IF(ISBLANK('Contactos Agua Celica'!F71),"",'Contactos Agua Celica'!F71)</f>
        <v>Che chi</v>
      </c>
      <c r="C73" s="18" t="str">
        <f>IF(ISBLANK('Contactos Agua Celica'!G71),"",'Contactos Agua Celica'!G71)</f>
        <v>098 129 6768</v>
      </c>
      <c r="D73" s="19" t="str">
        <f>IF(ISBLANK('Contactos Agua Celica'!H71),"",MID('Contactos Agua Celica'!H71,1,FIND(",",'Contactos Agua Celica'!H71,1)-1))</f>
        <v>-4.102459518022999</v>
      </c>
      <c r="E73" s="19" t="str">
        <f>IF(ISBLANK('Contactos Agua Celica'!H71),"",MID('Contactos Agua Celica'!H71,FIND(",",'Contactos Agua Celica'!H71,1)+1,LEN('Contactos Agua Celica'!H71)))</f>
        <v xml:space="preserve"> -79.95623959807449</v>
      </c>
      <c r="F73" s="11" t="s">
        <v>1267</v>
      </c>
      <c r="G73" s="19" t="str">
        <f>IF(ISBLANK('Contactos Agua Celica'!F71)," ","false")</f>
        <v>false</v>
      </c>
      <c r="H73" s="19" t="str">
        <f>IF(ISBLANK('Contactos Agua Celica'!F71)," ","0")</f>
        <v>0</v>
      </c>
      <c r="I73" s="19" t="str">
        <f>IF(ISBLANK('Contactos Agua Celica'!F71)," ","0")</f>
        <v>0</v>
      </c>
    </row>
    <row r="74" spans="1:9" x14ac:dyDescent="0.3">
      <c r="A74" s="19" t="s">
        <v>688</v>
      </c>
      <c r="B74" s="20" t="e">
        <f>IF(ISBLANK('Contactos Agua Celica'!#REF!),"",'Contactos Agua Celica'!#REF!)</f>
        <v>#REF!</v>
      </c>
      <c r="C74" s="18" t="e">
        <f>IF(ISBLANK('Contactos Agua Celica'!#REF!),"",'Contactos Agua Celica'!#REF!)</f>
        <v>#REF!</v>
      </c>
      <c r="D74" s="19" t="e">
        <f>IF(ISBLANK('Contactos Agua Celica'!#REF!),"",MID('Contactos Agua Celica'!#REF!,1,FIND(",",'Contactos Agua Celica'!#REF!,1)-1))</f>
        <v>#REF!</v>
      </c>
      <c r="E74" s="19" t="e">
        <f>IF(ISBLANK('Contactos Agua Celica'!#REF!),"",MID('Contactos Agua Celica'!#REF!,FIND(",",'Contactos Agua Celica'!#REF!,1)+1,LEN('Contactos Agua Celica'!#REF!)))</f>
        <v>#REF!</v>
      </c>
      <c r="F74" s="11" t="s">
        <v>1267</v>
      </c>
      <c r="G74" s="19" t="str">
        <f>IF(ISBLANK('Contactos Agua Celica'!#REF!)," ","false")</f>
        <v>false</v>
      </c>
      <c r="H74" s="19" t="str">
        <f>IF(ISBLANK('Contactos Agua Celica'!#REF!)," ","0")</f>
        <v>0</v>
      </c>
      <c r="I74" s="19" t="str">
        <f>IF(ISBLANK('Contactos Agua Celica'!#REF!)," ","0")</f>
        <v>0</v>
      </c>
    </row>
    <row r="75" spans="1:9" x14ac:dyDescent="0.3">
      <c r="A75" s="19" t="s">
        <v>689</v>
      </c>
      <c r="B75" s="20" t="str">
        <f>IF(ISBLANK('Contactos Agua Celica'!F72),"",'Contactos Agua Celica'!F72)</f>
        <v>Chova</v>
      </c>
      <c r="C75" s="18" t="str">
        <f>IF(ISBLANK('Contactos Agua Celica'!G72),"",'Contactos Agua Celica'!G72)</f>
        <v>+593 98 836 6476</v>
      </c>
      <c r="D75" s="19" t="str">
        <f>IF(ISBLANK('Contactos Agua Celica'!H72),"",MID('Contactos Agua Celica'!H72,1,FIND(",",'Contactos Agua Celica'!H72,1)-1))</f>
        <v>-4.1028852178416555</v>
      </c>
      <c r="E75" s="19" t="str">
        <f>IF(ISBLANK('Contactos Agua Celica'!H72),"",MID('Contactos Agua Celica'!H72,FIND(",",'Contactos Agua Celica'!H72,1)+1,LEN('Contactos Agua Celica'!H72)))</f>
        <v xml:space="preserve"> -79.95821983109745</v>
      </c>
      <c r="F75" s="11" t="s">
        <v>1267</v>
      </c>
      <c r="G75" s="19" t="str">
        <f>IF(ISBLANK('Contactos Agua Celica'!F72)," ","false")</f>
        <v>false</v>
      </c>
      <c r="H75" s="19" t="str">
        <f>IF(ISBLANK('Contactos Agua Celica'!F72)," ","0")</f>
        <v>0</v>
      </c>
      <c r="I75" s="19" t="str">
        <f>IF(ISBLANK('Contactos Agua Celica'!F72)," ","0")</f>
        <v>0</v>
      </c>
    </row>
    <row r="76" spans="1:9" x14ac:dyDescent="0.3">
      <c r="A76" s="19" t="s">
        <v>690</v>
      </c>
      <c r="B76" s="20" t="str">
        <f>IF(ISBLANK('Contactos Agua Celica'!F73),"",'Contactos Agua Celica'!F73)</f>
        <v>Churorona</v>
      </c>
      <c r="C76" s="18" t="str">
        <f>IF(ISBLANK('Contactos Agua Celica'!G73),"",'Contactos Agua Celica'!G73)</f>
        <v>099 745 0292</v>
      </c>
      <c r="D76" s="19" t="str">
        <f>IF(ISBLANK('Contactos Agua Celica'!H73),"",MID('Contactos Agua Celica'!H73,1,FIND(",",'Contactos Agua Celica'!H73,1)-1))</f>
        <v>-4.1037410031317725</v>
      </c>
      <c r="E76" s="19" t="str">
        <f>IF(ISBLANK('Contactos Agua Celica'!H73),"",MID('Contactos Agua Celica'!H73,FIND(",",'Contactos Agua Celica'!H73,1)+1,LEN('Contactos Agua Celica'!H73)))</f>
        <v xml:space="preserve"> -79.95541884211869</v>
      </c>
      <c r="F76" s="11" t="s">
        <v>1267</v>
      </c>
      <c r="G76" s="19" t="str">
        <f>IF(ISBLANK('Contactos Agua Celica'!F73)," ","false")</f>
        <v>false</v>
      </c>
      <c r="H76" s="19" t="str">
        <f>IF(ISBLANK('Contactos Agua Celica'!F73)," ","0")</f>
        <v>0</v>
      </c>
      <c r="I76" s="19" t="str">
        <f>IF(ISBLANK('Contactos Agua Celica'!F73)," ","0")</f>
        <v>0</v>
      </c>
    </row>
    <row r="77" spans="1:9" x14ac:dyDescent="0.3">
      <c r="A77" s="19" t="s">
        <v>691</v>
      </c>
      <c r="B77" s="20" t="str">
        <f>IF(ISBLANK('Contactos Agua Celica'!F74),"",'Contactos Agua Celica'!F74)</f>
        <v>Churro</v>
      </c>
      <c r="C77" s="18" t="str">
        <f>IF(ISBLANK('Contactos Agua Celica'!G74),"",'Contactos Agua Celica'!G74)</f>
        <v>098 823 2503</v>
      </c>
      <c r="D77" s="19" t="str">
        <f>IF(ISBLANK('Contactos Agua Celica'!H74),"",MID('Contactos Agua Celica'!H74,1,FIND(",",'Contactos Agua Celica'!H74,1)-1))</f>
        <v>-4.100362309992132</v>
      </c>
      <c r="E77" s="19" t="str">
        <f>IF(ISBLANK('Contactos Agua Celica'!H74),"",MID('Contactos Agua Celica'!H74,FIND(",",'Contactos Agua Celica'!H74,1)+1,LEN('Contactos Agua Celica'!H74)))</f>
        <v xml:space="preserve"> -79.95595182739584</v>
      </c>
      <c r="F77" s="11" t="s">
        <v>1267</v>
      </c>
      <c r="G77" s="19" t="str">
        <f>IF(ISBLANK('Contactos Agua Celica'!F74)," ","false")</f>
        <v>false</v>
      </c>
      <c r="H77" s="19" t="str">
        <f>IF(ISBLANK('Contactos Agua Celica'!F74)," ","0")</f>
        <v>0</v>
      </c>
      <c r="I77" s="19" t="str">
        <f>IF(ISBLANK('Contactos Agua Celica'!F74)," ","0")</f>
        <v>0</v>
      </c>
    </row>
    <row r="78" spans="1:9" x14ac:dyDescent="0.3">
      <c r="A78" s="19" t="s">
        <v>692</v>
      </c>
      <c r="B78" s="20" t="str">
        <f>IF(ISBLANK('Contactos Agua Celica'!F75),"",'Contactos Agua Celica'!F75)</f>
        <v>Cinthia BBT CACPE</v>
      </c>
      <c r="C78" s="18" t="str">
        <f>IF(ISBLANK('Contactos Agua Celica'!G75),"",'Contactos Agua Celica'!G75)</f>
        <v>+593 99 731 7035</v>
      </c>
      <c r="D78" s="19" t="str">
        <f>IF(ISBLANK('Contactos Agua Celica'!H75),"",MID('Contactos Agua Celica'!H75,1,FIND(",",'Contactos Agua Celica'!H75,1)-1))</f>
        <v>-4.105487944736038</v>
      </c>
      <c r="E78" s="19" t="str">
        <f>IF(ISBLANK('Contactos Agua Celica'!H75),"",MID('Contactos Agua Celica'!H75,FIND(",",'Contactos Agua Celica'!H75,1)+1,LEN('Contactos Agua Celica'!H75)))</f>
        <v xml:space="preserve"> -79.95456281090071</v>
      </c>
      <c r="F78" s="11" t="s">
        <v>1267</v>
      </c>
      <c r="G78" s="19" t="str">
        <f>IF(ISBLANK('Contactos Agua Celica'!F75)," ","false")</f>
        <v>false</v>
      </c>
      <c r="H78" s="19" t="str">
        <f>IF(ISBLANK('Contactos Agua Celica'!F75)," ","0")</f>
        <v>0</v>
      </c>
      <c r="I78" s="19" t="str">
        <f>IF(ISBLANK('Contactos Agua Celica'!F75)," ","0")</f>
        <v>0</v>
      </c>
    </row>
    <row r="79" spans="1:9" x14ac:dyDescent="0.3">
      <c r="A79" s="19" t="s">
        <v>693</v>
      </c>
      <c r="B79" s="20" t="str">
        <f>IF(ISBLANK('Contactos Agua Celica'!F76),"",'Contactos Agua Celica'!F76)</f>
        <v>Claudia Cabrera</v>
      </c>
      <c r="C79" s="18" t="str">
        <f>IF(ISBLANK('Contactos Agua Celica'!G76),"",'Contactos Agua Celica'!G76)</f>
        <v>096 794 6080</v>
      </c>
      <c r="D79" s="19" t="str">
        <f>IF(ISBLANK('Contactos Agua Celica'!H76),"",MID('Contactos Agua Celica'!H76,1,FIND(",",'Contactos Agua Celica'!H76,1)-1))</f>
        <v>-4.103946582107972</v>
      </c>
      <c r="E79" s="19" t="str">
        <f>IF(ISBLANK('Contactos Agua Celica'!H76),"",MID('Contactos Agua Celica'!H76,FIND(",",'Contactos Agua Celica'!H76,1)+1,LEN('Contactos Agua Celica'!H76)))</f>
        <v xml:space="preserve"> -79.95568367674095</v>
      </c>
      <c r="F79" s="11" t="s">
        <v>1267</v>
      </c>
      <c r="G79" s="19" t="str">
        <f>IF(ISBLANK('Contactos Agua Celica'!F76)," ","false")</f>
        <v>false</v>
      </c>
      <c r="H79" s="19" t="str">
        <f>IF(ISBLANK('Contactos Agua Celica'!F76)," ","0")</f>
        <v>0</v>
      </c>
      <c r="I79" s="19" t="str">
        <f>IF(ISBLANK('Contactos Agua Celica'!F76)," ","0")</f>
        <v>0</v>
      </c>
    </row>
    <row r="80" spans="1:9" x14ac:dyDescent="0.3">
      <c r="A80" s="19" t="s">
        <v>694</v>
      </c>
      <c r="B80" s="20" t="str">
        <f>IF(ISBLANK('Contactos Agua Celica'!F77),"",'Contactos Agua Celica'!F77)</f>
        <v>Clemente Huertas</v>
      </c>
      <c r="C80" s="18" t="str">
        <f>IF(ISBLANK('Contactos Agua Celica'!G77),"",'Contactos Agua Celica'!G77)</f>
        <v>099 125 4252</v>
      </c>
      <c r="D80" s="19" t="str">
        <f>IF(ISBLANK('Contactos Agua Celica'!H77),"",MID('Contactos Agua Celica'!H77,1,FIND(",",'Contactos Agua Celica'!H77,1)-1))</f>
        <v/>
      </c>
      <c r="E80" s="19" t="str">
        <f>IF(ISBLANK('Contactos Agua Celica'!H77),"",MID('Contactos Agua Celica'!H77,FIND(",",'Contactos Agua Celica'!H77,1)+1,LEN('Contactos Agua Celica'!H77)))</f>
        <v/>
      </c>
      <c r="F80" s="11" t="s">
        <v>1267</v>
      </c>
      <c r="G80" s="19" t="str">
        <f>IF(ISBLANK('Contactos Agua Celica'!F77)," ","false")</f>
        <v>false</v>
      </c>
      <c r="H80" s="19" t="str">
        <f>IF(ISBLANK('Contactos Agua Celica'!F77)," ","0")</f>
        <v>0</v>
      </c>
      <c r="I80" s="19" t="str">
        <f>IF(ISBLANK('Contactos Agua Celica'!F77)," ","0")</f>
        <v>0</v>
      </c>
    </row>
    <row r="81" spans="1:9" x14ac:dyDescent="0.3">
      <c r="A81" s="19" t="s">
        <v>695</v>
      </c>
      <c r="B81" s="20" t="str">
        <f>IF(ISBLANK('Contactos Agua Celica'!F78),"",'Contactos Agua Celica'!F78)</f>
        <v>Cliente  Defensa Civil Cuchara</v>
      </c>
      <c r="C81" s="18" t="str">
        <f>IF(ISBLANK('Contactos Agua Celica'!G78),"",'Contactos Agua Celica'!G78)</f>
        <v>+593 99 613 4014</v>
      </c>
      <c r="D81" s="19" t="str">
        <f>IF(ISBLANK('Contactos Agua Celica'!H78),"",MID('Contactos Agua Celica'!H78,1,FIND(",",'Contactos Agua Celica'!H78,1)-1))</f>
        <v/>
      </c>
      <c r="E81" s="19" t="str">
        <f>IF(ISBLANK('Contactos Agua Celica'!H78),"",MID('Contactos Agua Celica'!H78,FIND(",",'Contactos Agua Celica'!H78,1)+1,LEN('Contactos Agua Celica'!H78)))</f>
        <v/>
      </c>
      <c r="F81" s="11" t="s">
        <v>1267</v>
      </c>
      <c r="G81" s="19" t="str">
        <f>IF(ISBLANK('Contactos Agua Celica'!F78)," ","false")</f>
        <v>false</v>
      </c>
      <c r="H81" s="19" t="str">
        <f>IF(ISBLANK('Contactos Agua Celica'!F78)," ","0")</f>
        <v>0</v>
      </c>
      <c r="I81" s="19" t="str">
        <f>IF(ISBLANK('Contactos Agua Celica'!F78)," ","0")</f>
        <v>0</v>
      </c>
    </row>
    <row r="82" spans="1:9" x14ac:dyDescent="0.3">
      <c r="A82" s="19" t="s">
        <v>696</v>
      </c>
      <c r="B82" s="20" t="str">
        <f>IF(ISBLANK('Contactos Agua Celica'!F79),"",'Contactos Agua Celica'!F79)</f>
        <v>Cliente 0010</v>
      </c>
      <c r="C82" s="18" t="str">
        <f>IF(ISBLANK('Contactos Agua Celica'!G79),"",'Contactos Agua Celica'!G79)</f>
        <v>099 433 7624</v>
      </c>
      <c r="D82" s="19" t="str">
        <f>IF(ISBLANK('Contactos Agua Celica'!H79),"",MID('Contactos Agua Celica'!H79,1,FIND(",",'Contactos Agua Celica'!H79,1)-1))</f>
        <v/>
      </c>
      <c r="E82" s="19" t="str">
        <f>IF(ISBLANK('Contactos Agua Celica'!H79),"",MID('Contactos Agua Celica'!H79,FIND(",",'Contactos Agua Celica'!H79,1)+1,LEN('Contactos Agua Celica'!H79)))</f>
        <v/>
      </c>
      <c r="F82" s="11" t="s">
        <v>1267</v>
      </c>
      <c r="G82" s="19" t="str">
        <f>IF(ISBLANK('Contactos Agua Celica'!F79)," ","false")</f>
        <v>false</v>
      </c>
      <c r="H82" s="19" t="str">
        <f>IF(ISBLANK('Contactos Agua Celica'!F79)," ","0")</f>
        <v>0</v>
      </c>
      <c r="I82" s="19" t="str">
        <f>IF(ISBLANK('Contactos Agua Celica'!F79)," ","0")</f>
        <v>0</v>
      </c>
    </row>
    <row r="83" spans="1:9" x14ac:dyDescent="0.3">
      <c r="A83" s="19" t="s">
        <v>697</v>
      </c>
      <c r="B83" s="20" t="str">
        <f>IF(ISBLANK('Contactos Agua Celica'!F80),"",'Contactos Agua Celica'!F80)</f>
        <v>Cliente 007</v>
      </c>
      <c r="C83" s="18" t="str">
        <f>IF(ISBLANK('Contactos Agua Celica'!G80),"",'Contactos Agua Celica'!G80)</f>
        <v>+593993945819</v>
      </c>
      <c r="D83" s="19" t="str">
        <f>IF(ISBLANK('Contactos Agua Celica'!H80),"",MID('Contactos Agua Celica'!H80,1,FIND(",",'Contactos Agua Celica'!H80,1)-1))</f>
        <v/>
      </c>
      <c r="E83" s="19" t="str">
        <f>IF(ISBLANK('Contactos Agua Celica'!H80),"",MID('Contactos Agua Celica'!H80,FIND(",",'Contactos Agua Celica'!H80,1)+1,LEN('Contactos Agua Celica'!H80)))</f>
        <v/>
      </c>
      <c r="F83" s="11" t="s">
        <v>1267</v>
      </c>
      <c r="G83" s="19" t="str">
        <f>IF(ISBLANK('Contactos Agua Celica'!F80)," ","false")</f>
        <v>false</v>
      </c>
      <c r="H83" s="19" t="str">
        <f>IF(ISBLANK('Contactos Agua Celica'!F80)," ","0")</f>
        <v>0</v>
      </c>
      <c r="I83" s="19" t="str">
        <f>IF(ISBLANK('Contactos Agua Celica'!F80)," ","0")</f>
        <v>0</v>
      </c>
    </row>
    <row r="84" spans="1:9" x14ac:dyDescent="0.3">
      <c r="A84" s="19" t="s">
        <v>698</v>
      </c>
      <c r="B84" s="20" t="str">
        <f>IF(ISBLANK('Contactos Agua Celica'!F81),"",'Contactos Agua Celica'!F81)</f>
        <v>Cliente 008</v>
      </c>
      <c r="C84" s="18" t="str">
        <f>IF(ISBLANK('Contactos Agua Celica'!G81),"",'Contactos Agua Celica'!G81)</f>
        <v>096 842 2741</v>
      </c>
      <c r="D84" s="19" t="str">
        <f>IF(ISBLANK('Contactos Agua Celica'!H81),"",MID('Contactos Agua Celica'!H81,1,FIND(",",'Contactos Agua Celica'!H81,1)-1))</f>
        <v/>
      </c>
      <c r="E84" s="19" t="str">
        <f>IF(ISBLANK('Contactos Agua Celica'!H81),"",MID('Contactos Agua Celica'!H81,FIND(",",'Contactos Agua Celica'!H81,1)+1,LEN('Contactos Agua Celica'!H81)))</f>
        <v/>
      </c>
      <c r="F84" s="11" t="s">
        <v>1267</v>
      </c>
      <c r="G84" s="19" t="str">
        <f>IF(ISBLANK('Contactos Agua Celica'!F81)," ","false")</f>
        <v>false</v>
      </c>
      <c r="H84" s="19" t="str">
        <f>IF(ISBLANK('Contactos Agua Celica'!F81)," ","0")</f>
        <v>0</v>
      </c>
      <c r="I84" s="19" t="str">
        <f>IF(ISBLANK('Contactos Agua Celica'!F81)," ","0")</f>
        <v>0</v>
      </c>
    </row>
    <row r="85" spans="1:9" x14ac:dyDescent="0.3">
      <c r="A85" s="19" t="s">
        <v>699</v>
      </c>
      <c r="B85" s="20" t="str">
        <f>IF(ISBLANK('Contactos Agua Celica'!F82),"",'Contactos Agua Celica'!F82)</f>
        <v>Cliente 0098</v>
      </c>
      <c r="C85" s="18" t="str">
        <f>IF(ISBLANK('Contactos Agua Celica'!G82),"",'Contactos Agua Celica'!G82)</f>
        <v>+593 99 207 6952</v>
      </c>
      <c r="D85" s="19" t="str">
        <f>IF(ISBLANK('Contactos Agua Celica'!H82),"",MID('Contactos Agua Celica'!H82,1,FIND(",",'Contactos Agua Celica'!H82,1)-1))</f>
        <v/>
      </c>
      <c r="E85" s="19" t="str">
        <f>IF(ISBLANK('Contactos Agua Celica'!H82),"",MID('Contactos Agua Celica'!H82,FIND(",",'Contactos Agua Celica'!H82,1)+1,LEN('Contactos Agua Celica'!H82)))</f>
        <v/>
      </c>
      <c r="F85" s="11" t="s">
        <v>1267</v>
      </c>
      <c r="G85" s="19" t="str">
        <f>IF(ISBLANK('Contactos Agua Celica'!F82)," ","false")</f>
        <v>false</v>
      </c>
      <c r="H85" s="19" t="str">
        <f>IF(ISBLANK('Contactos Agua Celica'!F82)," ","0")</f>
        <v>0</v>
      </c>
      <c r="I85" s="19" t="str">
        <f>IF(ISBLANK('Contactos Agua Celica'!F82)," ","0")</f>
        <v>0</v>
      </c>
    </row>
    <row r="86" spans="1:9" x14ac:dyDescent="0.3">
      <c r="A86" s="19" t="s">
        <v>700</v>
      </c>
      <c r="B86" s="20" t="str">
        <f>IF(ISBLANK('Contactos Agua Celica'!F83),"",'Contactos Agua Celica'!F83)</f>
        <v>Cliente 101</v>
      </c>
      <c r="C86" s="18" t="str">
        <f>IF(ISBLANK('Contactos Agua Celica'!G83),"",'Contactos Agua Celica'!G83)</f>
        <v>0959227431</v>
      </c>
      <c r="D86" s="19" t="str">
        <f>IF(ISBLANK('Contactos Agua Celica'!H83),"",MID('Contactos Agua Celica'!H83,1,FIND(",",'Contactos Agua Celica'!H83,1)-1))</f>
        <v/>
      </c>
      <c r="E86" s="19" t="str">
        <f>IF(ISBLANK('Contactos Agua Celica'!H83),"",MID('Contactos Agua Celica'!H83,FIND(",",'Contactos Agua Celica'!H83,1)+1,LEN('Contactos Agua Celica'!H83)))</f>
        <v/>
      </c>
      <c r="F86" s="11" t="s">
        <v>1267</v>
      </c>
      <c r="G86" s="19" t="str">
        <f>IF(ISBLANK('Contactos Agua Celica'!F83)," ","false")</f>
        <v>false</v>
      </c>
      <c r="H86" s="19" t="str">
        <f>IF(ISBLANK('Contactos Agua Celica'!F83)," ","0")</f>
        <v>0</v>
      </c>
      <c r="I86" s="19" t="str">
        <f>IF(ISBLANK('Contactos Agua Celica'!F83)," ","0")</f>
        <v>0</v>
      </c>
    </row>
    <row r="87" spans="1:9" x14ac:dyDescent="0.3">
      <c r="A87" s="19" t="s">
        <v>701</v>
      </c>
      <c r="B87" s="20" t="str">
        <f>IF(ISBLANK('Contactos Agua Celica'!F84),"",'Contactos Agua Celica'!F84)</f>
        <v>Cliente 102</v>
      </c>
      <c r="C87" s="18" t="str">
        <f>IF(ISBLANK('Contactos Agua Celica'!G84),"",'Contactos Agua Celica'!G84)</f>
        <v>0981300376</v>
      </c>
      <c r="D87" s="19" t="str">
        <f>IF(ISBLANK('Contactos Agua Celica'!H84),"",MID('Contactos Agua Celica'!H84,1,FIND(",",'Contactos Agua Celica'!H84,1)-1))</f>
        <v/>
      </c>
      <c r="E87" s="19" t="str">
        <f>IF(ISBLANK('Contactos Agua Celica'!H84),"",MID('Contactos Agua Celica'!H84,FIND(",",'Contactos Agua Celica'!H84,1)+1,LEN('Contactos Agua Celica'!H84)))</f>
        <v/>
      </c>
      <c r="F87" s="11" t="s">
        <v>1267</v>
      </c>
      <c r="G87" s="19" t="str">
        <f>IF(ISBLANK('Contactos Agua Celica'!F84)," ","false")</f>
        <v>false</v>
      </c>
      <c r="H87" s="19" t="str">
        <f>IF(ISBLANK('Contactos Agua Celica'!F84)," ","0")</f>
        <v>0</v>
      </c>
      <c r="I87" s="19" t="str">
        <f>IF(ISBLANK('Contactos Agua Celica'!F84)," ","0")</f>
        <v>0</v>
      </c>
    </row>
    <row r="88" spans="1:9" x14ac:dyDescent="0.3">
      <c r="A88" s="19" t="s">
        <v>702</v>
      </c>
      <c r="B88" s="20" t="str">
        <f>IF(ISBLANK('Contactos Agua Celica'!F85),"",'Contactos Agua Celica'!F85)</f>
        <v>Cliente 103</v>
      </c>
      <c r="C88" s="18" t="str">
        <f>IF(ISBLANK('Contactos Agua Celica'!G85),"",'Contactos Agua Celica'!G85)</f>
        <v>0986993623</v>
      </c>
      <c r="D88" s="19" t="str">
        <f>IF(ISBLANK('Contactos Agua Celica'!H85),"",MID('Contactos Agua Celica'!H85,1,FIND(",",'Contactos Agua Celica'!H85,1)-1))</f>
        <v/>
      </c>
      <c r="E88" s="19" t="str">
        <f>IF(ISBLANK('Contactos Agua Celica'!H85),"",MID('Contactos Agua Celica'!H85,FIND(",",'Contactos Agua Celica'!H85,1)+1,LEN('Contactos Agua Celica'!H85)))</f>
        <v/>
      </c>
      <c r="F88" s="11" t="s">
        <v>1267</v>
      </c>
      <c r="G88" s="19" t="str">
        <f>IF(ISBLANK('Contactos Agua Celica'!F85)," ","false")</f>
        <v>false</v>
      </c>
      <c r="H88" s="19" t="str">
        <f>IF(ISBLANK('Contactos Agua Celica'!F85)," ","0")</f>
        <v>0</v>
      </c>
      <c r="I88" s="19" t="str">
        <f>IF(ISBLANK('Contactos Agua Celica'!F85)," ","0")</f>
        <v>0</v>
      </c>
    </row>
    <row r="89" spans="1:9" x14ac:dyDescent="0.3">
      <c r="A89" s="19" t="s">
        <v>703</v>
      </c>
      <c r="B89" s="20" t="str">
        <f>IF(ISBLANK('Contactos Agua Celica'!F86),"",'Contactos Agua Celica'!F86)</f>
        <v>Cliente 104</v>
      </c>
      <c r="C89" s="18" t="str">
        <f>IF(ISBLANK('Contactos Agua Celica'!G86),"",'Contactos Agua Celica'!G86)</f>
        <v>0999657900</v>
      </c>
      <c r="D89" s="19" t="str">
        <f>IF(ISBLANK('Contactos Agua Celica'!H86),"",MID('Contactos Agua Celica'!H86,1,FIND(",",'Contactos Agua Celica'!H86,1)-1))</f>
        <v/>
      </c>
      <c r="E89" s="19" t="str">
        <f>IF(ISBLANK('Contactos Agua Celica'!H86),"",MID('Contactos Agua Celica'!H86,FIND(",",'Contactos Agua Celica'!H86,1)+1,LEN('Contactos Agua Celica'!H86)))</f>
        <v/>
      </c>
      <c r="F89" s="11" t="s">
        <v>1267</v>
      </c>
      <c r="G89" s="19" t="str">
        <f>IF(ISBLANK('Contactos Agua Celica'!F86)," ","false")</f>
        <v>false</v>
      </c>
      <c r="H89" s="19" t="str">
        <f>IF(ISBLANK('Contactos Agua Celica'!F86)," ","0")</f>
        <v>0</v>
      </c>
      <c r="I89" s="19" t="str">
        <f>IF(ISBLANK('Contactos Agua Celica'!F86)," ","0")</f>
        <v>0</v>
      </c>
    </row>
    <row r="90" spans="1:9" x14ac:dyDescent="0.3">
      <c r="A90" s="19" t="s">
        <v>704</v>
      </c>
      <c r="B90" s="20" t="str">
        <f>IF(ISBLANK('Contactos Agua Celica'!F87),"",'Contactos Agua Celica'!F87)</f>
        <v>Cliente 105</v>
      </c>
      <c r="C90" s="18" t="str">
        <f>IF(ISBLANK('Contactos Agua Celica'!G87),"",'Contactos Agua Celica'!G87)</f>
        <v>0985185240</v>
      </c>
      <c r="D90" s="19" t="str">
        <f>IF(ISBLANK('Contactos Agua Celica'!H87),"",MID('Contactos Agua Celica'!H87,1,FIND(",",'Contactos Agua Celica'!H87,1)-1))</f>
        <v/>
      </c>
      <c r="E90" s="19" t="str">
        <f>IF(ISBLANK('Contactos Agua Celica'!H87),"",MID('Contactos Agua Celica'!H87,FIND(",",'Contactos Agua Celica'!H87,1)+1,LEN('Contactos Agua Celica'!H87)))</f>
        <v/>
      </c>
      <c r="F90" s="11" t="s">
        <v>1267</v>
      </c>
      <c r="G90" s="19" t="str">
        <f>IF(ISBLANK('Contactos Agua Celica'!F87)," ","false")</f>
        <v>false</v>
      </c>
      <c r="H90" s="19" t="str">
        <f>IF(ISBLANK('Contactos Agua Celica'!F87)," ","0")</f>
        <v>0</v>
      </c>
      <c r="I90" s="19" t="str">
        <f>IF(ISBLANK('Contactos Agua Celica'!F87)," ","0")</f>
        <v>0</v>
      </c>
    </row>
    <row r="91" spans="1:9" x14ac:dyDescent="0.3">
      <c r="A91" s="19" t="s">
        <v>705</v>
      </c>
      <c r="B91" s="20" t="str">
        <f>IF(ISBLANK('Contactos Agua Celica'!F88),"",'Contactos Agua Celica'!F88)</f>
        <v>Cliente 111</v>
      </c>
      <c r="C91" s="18" t="str">
        <f>IF(ISBLANK('Contactos Agua Celica'!G88),"",'Contactos Agua Celica'!G88)</f>
        <v>0993294677</v>
      </c>
      <c r="D91" s="19" t="str">
        <f>IF(ISBLANK('Contactos Agua Celica'!H88),"",MID('Contactos Agua Celica'!H88,1,FIND(",",'Contactos Agua Celica'!H88,1)-1))</f>
        <v/>
      </c>
      <c r="E91" s="19" t="str">
        <f>IF(ISBLANK('Contactos Agua Celica'!H88),"",MID('Contactos Agua Celica'!H88,FIND(",",'Contactos Agua Celica'!H88,1)+1,LEN('Contactos Agua Celica'!H88)))</f>
        <v/>
      </c>
      <c r="F91" s="11" t="s">
        <v>1267</v>
      </c>
      <c r="G91" s="19" t="str">
        <f>IF(ISBLANK('Contactos Agua Celica'!F88)," ","false")</f>
        <v>false</v>
      </c>
      <c r="H91" s="19" t="str">
        <f>IF(ISBLANK('Contactos Agua Celica'!F88)," ","0")</f>
        <v>0</v>
      </c>
      <c r="I91" s="19" t="str">
        <f>IF(ISBLANK('Contactos Agua Celica'!F88)," ","0")</f>
        <v>0</v>
      </c>
    </row>
    <row r="92" spans="1:9" x14ac:dyDescent="0.3">
      <c r="A92" s="19" t="s">
        <v>706</v>
      </c>
      <c r="B92" s="20" t="str">
        <f>IF(ISBLANK('Contactos Agua Celica'!F89),"",'Contactos Agua Celica'!F89)</f>
        <v>Cliente 12</v>
      </c>
      <c r="C92" s="18" t="str">
        <f>IF(ISBLANK('Contactos Agua Celica'!G89),"",'Contactos Agua Celica'!G89)</f>
        <v>099 400 9361</v>
      </c>
      <c r="D92" s="19" t="str">
        <f>IF(ISBLANK('Contactos Agua Celica'!H89),"",MID('Contactos Agua Celica'!H89,1,FIND(",",'Contactos Agua Celica'!H89,1)-1))</f>
        <v/>
      </c>
      <c r="E92" s="19" t="str">
        <f>IF(ISBLANK('Contactos Agua Celica'!H89),"",MID('Contactos Agua Celica'!H89,FIND(",",'Contactos Agua Celica'!H89,1)+1,LEN('Contactos Agua Celica'!H89)))</f>
        <v/>
      </c>
      <c r="F92" s="11" t="s">
        <v>1267</v>
      </c>
      <c r="G92" s="19" t="str">
        <f>IF(ISBLANK('Contactos Agua Celica'!F89)," ","false")</f>
        <v>false</v>
      </c>
      <c r="H92" s="19" t="str">
        <f>IF(ISBLANK('Contactos Agua Celica'!F89)," ","0")</f>
        <v>0</v>
      </c>
      <c r="I92" s="19" t="str">
        <f>IF(ISBLANK('Contactos Agua Celica'!F89)," ","0")</f>
        <v>0</v>
      </c>
    </row>
    <row r="93" spans="1:9" x14ac:dyDescent="0.3">
      <c r="A93" s="19" t="s">
        <v>707</v>
      </c>
      <c r="B93" s="20" t="str">
        <f>IF(ISBLANK('Contactos Agua Celica'!F90),"",'Contactos Agua Celica'!F90)</f>
        <v>Cliente 13</v>
      </c>
      <c r="C93" s="18" t="str">
        <f>IF(ISBLANK('Contactos Agua Celica'!G90),"",'Contactos Agua Celica'!G90)</f>
        <v>098 490 1032</v>
      </c>
      <c r="D93" s="19" t="str">
        <f>IF(ISBLANK('Contactos Agua Celica'!H90),"",MID('Contactos Agua Celica'!H90,1,FIND(",",'Contactos Agua Celica'!H90,1)-1))</f>
        <v/>
      </c>
      <c r="E93" s="19" t="str">
        <f>IF(ISBLANK('Contactos Agua Celica'!H90),"",MID('Contactos Agua Celica'!H90,FIND(",",'Contactos Agua Celica'!H90,1)+1,LEN('Contactos Agua Celica'!H90)))</f>
        <v/>
      </c>
      <c r="F93" s="11" t="s">
        <v>1267</v>
      </c>
      <c r="G93" s="19" t="str">
        <f>IF(ISBLANK('Contactos Agua Celica'!F90)," ","false")</f>
        <v>false</v>
      </c>
      <c r="H93" s="19" t="str">
        <f>IF(ISBLANK('Contactos Agua Celica'!F90)," ","0")</f>
        <v>0</v>
      </c>
      <c r="I93" s="19" t="str">
        <f>IF(ISBLANK('Contactos Agua Celica'!F90)," ","0")</f>
        <v>0</v>
      </c>
    </row>
    <row r="94" spans="1:9" x14ac:dyDescent="0.3">
      <c r="A94" s="19" t="s">
        <v>708</v>
      </c>
      <c r="B94" s="20" t="str">
        <f>IF(ISBLANK('Contactos Agua Celica'!F91),"",'Contactos Agua Celica'!F91)</f>
        <v>Cliente 14</v>
      </c>
      <c r="C94" s="18" t="str">
        <f>IF(ISBLANK('Contactos Agua Celica'!G91),"",'Contactos Agua Celica'!G91)</f>
        <v>098 200 4889</v>
      </c>
      <c r="D94" s="19" t="str">
        <f>IF(ISBLANK('Contactos Agua Celica'!H91),"",MID('Contactos Agua Celica'!H91,1,FIND(",",'Contactos Agua Celica'!H91,1)-1))</f>
        <v/>
      </c>
      <c r="E94" s="19" t="str">
        <f>IF(ISBLANK('Contactos Agua Celica'!H91),"",MID('Contactos Agua Celica'!H91,FIND(",",'Contactos Agua Celica'!H91,1)+1,LEN('Contactos Agua Celica'!H91)))</f>
        <v/>
      </c>
      <c r="F94" s="11" t="s">
        <v>1267</v>
      </c>
      <c r="G94" s="19" t="str">
        <f>IF(ISBLANK('Contactos Agua Celica'!F91)," ","false")</f>
        <v>false</v>
      </c>
      <c r="H94" s="19" t="str">
        <f>IF(ISBLANK('Contactos Agua Celica'!F91)," ","0")</f>
        <v>0</v>
      </c>
      <c r="I94" s="19" t="str">
        <f>IF(ISBLANK('Contactos Agua Celica'!F91)," ","0")</f>
        <v>0</v>
      </c>
    </row>
    <row r="95" spans="1:9" x14ac:dyDescent="0.3">
      <c r="A95" s="19" t="s">
        <v>709</v>
      </c>
      <c r="B95" s="20" t="str">
        <f>IF(ISBLANK('Contactos Agua Celica'!F92),"",'Contactos Agua Celica'!F92)</f>
        <v>Cliente 20</v>
      </c>
      <c r="C95" s="18" t="str">
        <f>IF(ISBLANK('Contactos Agua Celica'!G92),"",'Contactos Agua Celica'!G92)</f>
        <v>0967085804</v>
      </c>
      <c r="D95" s="19" t="str">
        <f>IF(ISBLANK('Contactos Agua Celica'!H92),"",MID('Contactos Agua Celica'!H92,1,FIND(",",'Contactos Agua Celica'!H92,1)-1))</f>
        <v/>
      </c>
      <c r="E95" s="19" t="str">
        <f>IF(ISBLANK('Contactos Agua Celica'!H92),"",MID('Contactos Agua Celica'!H92,FIND(",",'Contactos Agua Celica'!H92,1)+1,LEN('Contactos Agua Celica'!H92)))</f>
        <v/>
      </c>
      <c r="F95" s="11" t="s">
        <v>1267</v>
      </c>
      <c r="G95" s="19" t="str">
        <f>IF(ISBLANK('Contactos Agua Celica'!F92)," ","false")</f>
        <v>false</v>
      </c>
      <c r="H95" s="19" t="str">
        <f>IF(ISBLANK('Contactos Agua Celica'!F92)," ","0")</f>
        <v>0</v>
      </c>
      <c r="I95" s="19" t="str">
        <f>IF(ISBLANK('Contactos Agua Celica'!F92)," ","0")</f>
        <v>0</v>
      </c>
    </row>
    <row r="96" spans="1:9" x14ac:dyDescent="0.3">
      <c r="A96" s="19" t="s">
        <v>710</v>
      </c>
      <c r="B96" s="20" t="str">
        <f>IF(ISBLANK('Contactos Agua Celica'!F93),"",'Contactos Agua Celica'!F93)</f>
        <v>Cliente 21</v>
      </c>
      <c r="C96" s="18" t="str">
        <f>IF(ISBLANK('Contactos Agua Celica'!G93),"",'Contactos Agua Celica'!G93)</f>
        <v>0960051427</v>
      </c>
      <c r="D96" s="19" t="str">
        <f>IF(ISBLANK('Contactos Agua Celica'!H93),"",MID('Contactos Agua Celica'!H93,1,FIND(",",'Contactos Agua Celica'!H93,1)-1))</f>
        <v/>
      </c>
      <c r="E96" s="19" t="str">
        <f>IF(ISBLANK('Contactos Agua Celica'!H93),"",MID('Contactos Agua Celica'!H93,FIND(",",'Contactos Agua Celica'!H93,1)+1,LEN('Contactos Agua Celica'!H93)))</f>
        <v/>
      </c>
      <c r="F96" s="11" t="s">
        <v>1267</v>
      </c>
      <c r="G96" s="19" t="str">
        <f>IF(ISBLANK('Contactos Agua Celica'!F93)," ","false")</f>
        <v>false</v>
      </c>
      <c r="H96" s="19" t="str">
        <f>IF(ISBLANK('Contactos Agua Celica'!F93)," ","0")</f>
        <v>0</v>
      </c>
      <c r="I96" s="19" t="str">
        <f>IF(ISBLANK('Contactos Agua Celica'!F93)," ","0")</f>
        <v>0</v>
      </c>
    </row>
    <row r="97" spans="1:9" x14ac:dyDescent="0.3">
      <c r="A97" s="19" t="s">
        <v>711</v>
      </c>
      <c r="B97" s="20" t="str">
        <f>IF(ISBLANK('Contactos Agua Celica'!F94),"",'Contactos Agua Celica'!F94)</f>
        <v>Cliente 22</v>
      </c>
      <c r="C97" s="18" t="str">
        <f>IF(ISBLANK('Contactos Agua Celica'!G94),"",'Contactos Agua Celica'!G94)</f>
        <v>0992744823</v>
      </c>
      <c r="D97" s="19" t="str">
        <f>IF(ISBLANK('Contactos Agua Celica'!H94),"",MID('Contactos Agua Celica'!H94,1,FIND(",",'Contactos Agua Celica'!H94,1)-1))</f>
        <v/>
      </c>
      <c r="E97" s="19" t="str">
        <f>IF(ISBLANK('Contactos Agua Celica'!H94),"",MID('Contactos Agua Celica'!H94,FIND(",",'Contactos Agua Celica'!H94,1)+1,LEN('Contactos Agua Celica'!H94)))</f>
        <v/>
      </c>
      <c r="F97" s="11" t="s">
        <v>1267</v>
      </c>
      <c r="G97" s="19" t="str">
        <f>IF(ISBLANK('Contactos Agua Celica'!F94)," ","false")</f>
        <v>false</v>
      </c>
      <c r="H97" s="19" t="str">
        <f>IF(ISBLANK('Contactos Agua Celica'!F94)," ","0")</f>
        <v>0</v>
      </c>
      <c r="I97" s="19" t="str">
        <f>IF(ISBLANK('Contactos Agua Celica'!F94)," ","0")</f>
        <v>0</v>
      </c>
    </row>
    <row r="98" spans="1:9" x14ac:dyDescent="0.3">
      <c r="A98" s="19" t="s">
        <v>712</v>
      </c>
      <c r="B98" s="20" t="str">
        <f>IF(ISBLANK('Contactos Agua Celica'!F95),"",'Contactos Agua Celica'!F95)</f>
        <v>Cliente 23</v>
      </c>
      <c r="C98" s="18" t="str">
        <f>IF(ISBLANK('Contactos Agua Celica'!G95),"",'Contactos Agua Celica'!G95)</f>
        <v>+593939924792</v>
      </c>
      <c r="D98" s="19" t="str">
        <f>IF(ISBLANK('Contactos Agua Celica'!H95),"",MID('Contactos Agua Celica'!H95,1,FIND(",",'Contactos Agua Celica'!H95,1)-1))</f>
        <v/>
      </c>
      <c r="E98" s="19" t="str">
        <f>IF(ISBLANK('Contactos Agua Celica'!H95),"",MID('Contactos Agua Celica'!H95,FIND(",",'Contactos Agua Celica'!H95,1)+1,LEN('Contactos Agua Celica'!H95)))</f>
        <v/>
      </c>
      <c r="F98" s="11" t="s">
        <v>1267</v>
      </c>
      <c r="G98" s="19" t="str">
        <f>IF(ISBLANK('Contactos Agua Celica'!F95)," ","false")</f>
        <v>false</v>
      </c>
      <c r="H98" s="19" t="str">
        <f>IF(ISBLANK('Contactos Agua Celica'!F95)," ","0")</f>
        <v>0</v>
      </c>
      <c r="I98" s="19" t="str">
        <f>IF(ISBLANK('Contactos Agua Celica'!F95)," ","0")</f>
        <v>0</v>
      </c>
    </row>
    <row r="99" spans="1:9" x14ac:dyDescent="0.3">
      <c r="A99" s="19" t="s">
        <v>713</v>
      </c>
      <c r="B99" s="20" t="str">
        <f>IF(ISBLANK('Contactos Agua Celica'!F96),"",'Contactos Agua Celica'!F96)</f>
        <v>Cliente 233</v>
      </c>
      <c r="C99" s="18" t="str">
        <f>IF(ISBLANK('Contactos Agua Celica'!G96),"",'Contactos Agua Celica'!G96)</f>
        <v>+593991003491</v>
      </c>
      <c r="D99" s="19" t="str">
        <f>IF(ISBLANK('Contactos Agua Celica'!H96),"",MID('Contactos Agua Celica'!H96,1,FIND(",",'Contactos Agua Celica'!H96,1)-1))</f>
        <v/>
      </c>
      <c r="E99" s="19" t="str">
        <f>IF(ISBLANK('Contactos Agua Celica'!H96),"",MID('Contactos Agua Celica'!H96,FIND(",",'Contactos Agua Celica'!H96,1)+1,LEN('Contactos Agua Celica'!H96)))</f>
        <v/>
      </c>
      <c r="F99" s="11" t="s">
        <v>1267</v>
      </c>
      <c r="G99" s="19" t="str">
        <f>IF(ISBLANK('Contactos Agua Celica'!F96)," ","false")</f>
        <v>false</v>
      </c>
      <c r="H99" s="19" t="str">
        <f>IF(ISBLANK('Contactos Agua Celica'!F96)," ","0")</f>
        <v>0</v>
      </c>
      <c r="I99" s="19" t="str">
        <f>IF(ISBLANK('Contactos Agua Celica'!F96)," ","0")</f>
        <v>0</v>
      </c>
    </row>
    <row r="100" spans="1:9" x14ac:dyDescent="0.3">
      <c r="A100" s="19" t="s">
        <v>714</v>
      </c>
      <c r="B100" s="20" t="str">
        <f>IF(ISBLANK('Contactos Agua Celica'!F97),"",'Contactos Agua Celica'!F97)</f>
        <v>Cliente 234</v>
      </c>
      <c r="C100" s="18" t="str">
        <f>IF(ISBLANK('Contactos Agua Celica'!G97),"",'Contactos Agua Celica'!G97)</f>
        <v>+593996409593</v>
      </c>
      <c r="D100" s="19" t="str">
        <f>IF(ISBLANK('Contactos Agua Celica'!H97),"",MID('Contactos Agua Celica'!H97,1,FIND(",",'Contactos Agua Celica'!H97,1)-1))</f>
        <v/>
      </c>
      <c r="E100" s="19" t="str">
        <f>IF(ISBLANK('Contactos Agua Celica'!H97),"",MID('Contactos Agua Celica'!H97,FIND(",",'Contactos Agua Celica'!H97,1)+1,LEN('Contactos Agua Celica'!H97)))</f>
        <v/>
      </c>
      <c r="F100" s="11" t="s">
        <v>1267</v>
      </c>
      <c r="G100" s="19" t="str">
        <f>IF(ISBLANK('Contactos Agua Celica'!F97)," ","false")</f>
        <v>false</v>
      </c>
      <c r="H100" s="19" t="str">
        <f>IF(ISBLANK('Contactos Agua Celica'!F97)," ","0")</f>
        <v>0</v>
      </c>
      <c r="I100" s="19" t="str">
        <f>IF(ISBLANK('Contactos Agua Celica'!F97)," ","0")</f>
        <v>0</v>
      </c>
    </row>
    <row r="101" spans="1:9" x14ac:dyDescent="0.3">
      <c r="A101" s="19" t="s">
        <v>715</v>
      </c>
      <c r="B101" s="20" t="str">
        <f>IF(ISBLANK('Contactos Agua Celica'!F98),"",'Contactos Agua Celica'!F98)</f>
        <v>Cliente 2345</v>
      </c>
      <c r="C101" s="18" t="str">
        <f>IF(ISBLANK('Contactos Agua Celica'!G98),"",'Contactos Agua Celica'!G98)</f>
        <v>0999535018</v>
      </c>
      <c r="D101" s="19" t="str">
        <f>IF(ISBLANK('Contactos Agua Celica'!H98),"",MID('Contactos Agua Celica'!H98,1,FIND(",",'Contactos Agua Celica'!H98,1)-1))</f>
        <v/>
      </c>
      <c r="E101" s="19" t="str">
        <f>IF(ISBLANK('Contactos Agua Celica'!H98),"",MID('Contactos Agua Celica'!H98,FIND(",",'Contactos Agua Celica'!H98,1)+1,LEN('Contactos Agua Celica'!H98)))</f>
        <v/>
      </c>
      <c r="F101" s="11" t="s">
        <v>1267</v>
      </c>
      <c r="G101" s="19" t="str">
        <f>IF(ISBLANK('Contactos Agua Celica'!F98)," ","false")</f>
        <v>false</v>
      </c>
      <c r="H101" s="19" t="str">
        <f>IF(ISBLANK('Contactos Agua Celica'!F98)," ","0")</f>
        <v>0</v>
      </c>
      <c r="I101" s="19" t="str">
        <f>IF(ISBLANK('Contactos Agua Celica'!F98)," ","0")</f>
        <v>0</v>
      </c>
    </row>
    <row r="102" spans="1:9" x14ac:dyDescent="0.3">
      <c r="A102" s="19" t="s">
        <v>716</v>
      </c>
      <c r="B102" s="20" t="str">
        <f>IF(ISBLANK('Contactos Agua Celica'!F99),"",'Contactos Agua Celica'!F99)</f>
        <v>Cliente 24</v>
      </c>
      <c r="C102" s="18" t="str">
        <f>IF(ISBLANK('Contactos Agua Celica'!G99),"",'Contactos Agua Celica'!G99)</f>
        <v>0993503622</v>
      </c>
      <c r="D102" s="19" t="str">
        <f>IF(ISBLANK('Contactos Agua Celica'!H99),"",MID('Contactos Agua Celica'!H99,1,FIND(",",'Contactos Agua Celica'!H99,1)-1))</f>
        <v/>
      </c>
      <c r="E102" s="19" t="str">
        <f>IF(ISBLANK('Contactos Agua Celica'!H99),"",MID('Contactos Agua Celica'!H99,FIND(",",'Contactos Agua Celica'!H99,1)+1,LEN('Contactos Agua Celica'!H99)))</f>
        <v/>
      </c>
      <c r="F102" s="11" t="s">
        <v>1267</v>
      </c>
      <c r="G102" s="19" t="str">
        <f>IF(ISBLANK('Contactos Agua Celica'!F99)," ","false")</f>
        <v>false</v>
      </c>
      <c r="H102" s="19" t="str">
        <f>IF(ISBLANK('Contactos Agua Celica'!F99)," ","0")</f>
        <v>0</v>
      </c>
      <c r="I102" s="19" t="str">
        <f>IF(ISBLANK('Contactos Agua Celica'!F99)," ","0")</f>
        <v>0</v>
      </c>
    </row>
    <row r="103" spans="1:9" x14ac:dyDescent="0.3">
      <c r="A103" s="19" t="s">
        <v>717</v>
      </c>
      <c r="B103" s="20" t="str">
        <f>IF(ISBLANK('Contactos Agua Celica'!F100),"",'Contactos Agua Celica'!F100)</f>
        <v>Cliente 25</v>
      </c>
      <c r="C103" s="18" t="str">
        <f>IF(ISBLANK('Contactos Agua Celica'!G100),"",'Contactos Agua Celica'!G100)</f>
        <v>0988318372</v>
      </c>
      <c r="D103" s="19" t="str">
        <f>IF(ISBLANK('Contactos Agua Celica'!H100),"",MID('Contactos Agua Celica'!H100,1,FIND(",",'Contactos Agua Celica'!H100,1)-1))</f>
        <v/>
      </c>
      <c r="E103" s="19" t="str">
        <f>IF(ISBLANK('Contactos Agua Celica'!H100),"",MID('Contactos Agua Celica'!H100,FIND(",",'Contactos Agua Celica'!H100,1)+1,LEN('Contactos Agua Celica'!H100)))</f>
        <v/>
      </c>
      <c r="F103" s="11" t="s">
        <v>1267</v>
      </c>
      <c r="G103" s="19" t="str">
        <f>IF(ISBLANK('Contactos Agua Celica'!F100)," ","false")</f>
        <v>false</v>
      </c>
      <c r="H103" s="19" t="str">
        <f>IF(ISBLANK('Contactos Agua Celica'!F100)," ","0")</f>
        <v>0</v>
      </c>
      <c r="I103" s="19" t="str">
        <f>IF(ISBLANK('Contactos Agua Celica'!F100)," ","0")</f>
        <v>0</v>
      </c>
    </row>
    <row r="104" spans="1:9" x14ac:dyDescent="0.3">
      <c r="A104" s="19" t="s">
        <v>718</v>
      </c>
      <c r="B104" s="20" t="str">
        <f>IF(ISBLANK('Contactos Agua Celica'!F101),"",'Contactos Agua Celica'!F101)</f>
        <v>Cliente 26</v>
      </c>
      <c r="C104" s="18" t="str">
        <f>IF(ISBLANK('Contactos Agua Celica'!G101),"",'Contactos Agua Celica'!G101)</f>
        <v>0959530626</v>
      </c>
      <c r="D104" s="19" t="str">
        <f>IF(ISBLANK('Contactos Agua Celica'!H101),"",MID('Contactos Agua Celica'!H101,1,FIND(",",'Contactos Agua Celica'!H101,1)-1))</f>
        <v/>
      </c>
      <c r="E104" s="19" t="str">
        <f>IF(ISBLANK('Contactos Agua Celica'!H101),"",MID('Contactos Agua Celica'!H101,FIND(",",'Contactos Agua Celica'!H101,1)+1,LEN('Contactos Agua Celica'!H101)))</f>
        <v/>
      </c>
      <c r="F104" s="11" t="s">
        <v>1267</v>
      </c>
      <c r="G104" s="19" t="str">
        <f>IF(ISBLANK('Contactos Agua Celica'!F101)," ","false")</f>
        <v>false</v>
      </c>
      <c r="H104" s="19" t="str">
        <f>IF(ISBLANK('Contactos Agua Celica'!F101)," ","0")</f>
        <v>0</v>
      </c>
      <c r="I104" s="19" t="str">
        <f>IF(ISBLANK('Contactos Agua Celica'!F101)," ","0")</f>
        <v>0</v>
      </c>
    </row>
    <row r="105" spans="1:9" x14ac:dyDescent="0.3">
      <c r="A105" s="19" t="s">
        <v>719</v>
      </c>
      <c r="B105" s="20" t="str">
        <f>IF(ISBLANK('Contactos Agua Celica'!F102),"",'Contactos Agua Celica'!F102)</f>
        <v>Cliente 27</v>
      </c>
      <c r="C105" s="18" t="str">
        <f>IF(ISBLANK('Contactos Agua Celica'!G102),"",'Contactos Agua Celica'!G102)</f>
        <v>+593988343269</v>
      </c>
      <c r="D105" s="19" t="str">
        <f>IF(ISBLANK('Contactos Agua Celica'!H102),"",MID('Contactos Agua Celica'!H102,1,FIND(",",'Contactos Agua Celica'!H102,1)-1))</f>
        <v/>
      </c>
      <c r="E105" s="19" t="str">
        <f>IF(ISBLANK('Contactos Agua Celica'!H102),"",MID('Contactos Agua Celica'!H102,FIND(",",'Contactos Agua Celica'!H102,1)+1,LEN('Contactos Agua Celica'!H102)))</f>
        <v/>
      </c>
      <c r="F105" s="11" t="s">
        <v>1267</v>
      </c>
      <c r="G105" s="19" t="str">
        <f>IF(ISBLANK('Contactos Agua Celica'!F102)," ","false")</f>
        <v>false</v>
      </c>
      <c r="H105" s="19" t="str">
        <f>IF(ISBLANK('Contactos Agua Celica'!F102)," ","0")</f>
        <v>0</v>
      </c>
      <c r="I105" s="19" t="str">
        <f>IF(ISBLANK('Contactos Agua Celica'!F102)," ","0")</f>
        <v>0</v>
      </c>
    </row>
    <row r="106" spans="1:9" x14ac:dyDescent="0.3">
      <c r="A106" s="19" t="s">
        <v>720</v>
      </c>
      <c r="B106" s="20" t="str">
        <f>IF(ISBLANK('Contactos Agua Celica'!F103),"",'Contactos Agua Celica'!F103)</f>
        <v>Cliente 28</v>
      </c>
      <c r="C106" s="18" t="str">
        <f>IF(ISBLANK('Contactos Agua Celica'!G103),"",'Contactos Agua Celica'!G103)</f>
        <v>098 200 4889</v>
      </c>
      <c r="D106" s="19" t="str">
        <f>IF(ISBLANK('Contactos Agua Celica'!H103),"",MID('Contactos Agua Celica'!H103,1,FIND(",",'Contactos Agua Celica'!H103,1)-1))</f>
        <v/>
      </c>
      <c r="E106" s="19" t="str">
        <f>IF(ISBLANK('Contactos Agua Celica'!H103),"",MID('Contactos Agua Celica'!H103,FIND(",",'Contactos Agua Celica'!H103,1)+1,LEN('Contactos Agua Celica'!H103)))</f>
        <v/>
      </c>
      <c r="F106" s="11" t="s">
        <v>1267</v>
      </c>
      <c r="G106" s="19" t="str">
        <f>IF(ISBLANK('Contactos Agua Celica'!F103)," ","false")</f>
        <v>false</v>
      </c>
      <c r="H106" s="19" t="str">
        <f>IF(ISBLANK('Contactos Agua Celica'!F103)," ","0")</f>
        <v>0</v>
      </c>
      <c r="I106" s="19" t="str">
        <f>IF(ISBLANK('Contactos Agua Celica'!F103)," ","0")</f>
        <v>0</v>
      </c>
    </row>
    <row r="107" spans="1:9" x14ac:dyDescent="0.3">
      <c r="A107" s="19" t="s">
        <v>721</v>
      </c>
      <c r="B107" s="20" t="str">
        <f>IF(ISBLANK('Contactos Agua Celica'!F104),"",'Contactos Agua Celica'!F104)</f>
        <v>Cliente 29</v>
      </c>
      <c r="C107" s="18" t="str">
        <f>IF(ISBLANK('Contactos Agua Celica'!G104),"",'Contactos Agua Celica'!G104)</f>
        <v>0981812884</v>
      </c>
      <c r="D107" s="19" t="str">
        <f>IF(ISBLANK('Contactos Agua Celica'!H104),"",MID('Contactos Agua Celica'!H104,1,FIND(",",'Contactos Agua Celica'!H104,1)-1))</f>
        <v/>
      </c>
      <c r="E107" s="19" t="str">
        <f>IF(ISBLANK('Contactos Agua Celica'!H104),"",MID('Contactos Agua Celica'!H104,FIND(",",'Contactos Agua Celica'!H104,1)+1,LEN('Contactos Agua Celica'!H104)))</f>
        <v/>
      </c>
      <c r="F107" s="11" t="s">
        <v>1267</v>
      </c>
      <c r="G107" s="19" t="str">
        <f>IF(ISBLANK('Contactos Agua Celica'!F104)," ","false")</f>
        <v>false</v>
      </c>
      <c r="H107" s="19" t="str">
        <f>IF(ISBLANK('Contactos Agua Celica'!F104)," ","0")</f>
        <v>0</v>
      </c>
      <c r="I107" s="19" t="str">
        <f>IF(ISBLANK('Contactos Agua Celica'!F104)," ","0")</f>
        <v>0</v>
      </c>
    </row>
    <row r="108" spans="1:9" x14ac:dyDescent="0.3">
      <c r="A108" s="19" t="s">
        <v>722</v>
      </c>
      <c r="B108" s="20" t="str">
        <f>IF(ISBLANK('Contactos Agua Celica'!F105),"",'Contactos Agua Celica'!F105)</f>
        <v>Cliente 30</v>
      </c>
      <c r="C108" s="18" t="str">
        <f>IF(ISBLANK('Contactos Agua Celica'!G105),"",'Contactos Agua Celica'!G105)</f>
        <v>0980032511</v>
      </c>
      <c r="D108" s="19" t="str">
        <f>IF(ISBLANK('Contactos Agua Celica'!H105),"",MID('Contactos Agua Celica'!H105,1,FIND(",",'Contactos Agua Celica'!H105,1)-1))</f>
        <v/>
      </c>
      <c r="E108" s="19" t="str">
        <f>IF(ISBLANK('Contactos Agua Celica'!H105),"",MID('Contactos Agua Celica'!H105,FIND(",",'Contactos Agua Celica'!H105,1)+1,LEN('Contactos Agua Celica'!H105)))</f>
        <v/>
      </c>
      <c r="F108" s="11" t="s">
        <v>1267</v>
      </c>
      <c r="G108" s="19" t="str">
        <f>IF(ISBLANK('Contactos Agua Celica'!F105)," ","false")</f>
        <v>false</v>
      </c>
      <c r="H108" s="19" t="str">
        <f>IF(ISBLANK('Contactos Agua Celica'!F105)," ","0")</f>
        <v>0</v>
      </c>
      <c r="I108" s="19" t="str">
        <f>IF(ISBLANK('Contactos Agua Celica'!F105)," ","0")</f>
        <v>0</v>
      </c>
    </row>
    <row r="109" spans="1:9" x14ac:dyDescent="0.3">
      <c r="A109" s="19" t="s">
        <v>723</v>
      </c>
      <c r="B109" s="20" t="str">
        <f>IF(ISBLANK('Contactos Agua Celica'!F106),"",'Contactos Agua Celica'!F106)</f>
        <v>Cliente 31</v>
      </c>
      <c r="C109" s="18" t="str">
        <f>IF(ISBLANK('Contactos Agua Celica'!G106),"",'Contactos Agua Celica'!G106)</f>
        <v>0982614070</v>
      </c>
      <c r="D109" s="19" t="str">
        <f>IF(ISBLANK('Contactos Agua Celica'!H106),"",MID('Contactos Agua Celica'!H106,1,FIND(",",'Contactos Agua Celica'!H106,1)-1))</f>
        <v/>
      </c>
      <c r="E109" s="19" t="str">
        <f>IF(ISBLANK('Contactos Agua Celica'!H106),"",MID('Contactos Agua Celica'!H106,FIND(",",'Contactos Agua Celica'!H106,1)+1,LEN('Contactos Agua Celica'!H106)))</f>
        <v/>
      </c>
      <c r="F109" s="11" t="s">
        <v>1257</v>
      </c>
      <c r="G109" s="19" t="str">
        <f>IF(ISBLANK('Contactos Agua Celica'!F106)," ","false")</f>
        <v>false</v>
      </c>
      <c r="H109" s="19" t="str">
        <f>IF(ISBLANK('Contactos Agua Celica'!F106)," ","0")</f>
        <v>0</v>
      </c>
      <c r="I109" s="19" t="str">
        <f>IF(ISBLANK('Contactos Agua Celica'!F106)," ","0")</f>
        <v>0</v>
      </c>
    </row>
    <row r="110" spans="1:9" x14ac:dyDescent="0.3">
      <c r="A110" s="19" t="s">
        <v>724</v>
      </c>
      <c r="B110" s="20" t="str">
        <f>IF(ISBLANK('Contactos Agua Celica'!F107),"",'Contactos Agua Celica'!F107)</f>
        <v>Cliente 33</v>
      </c>
      <c r="C110" s="18" t="str">
        <f>IF(ISBLANK('Contactos Agua Celica'!G107),"",'Contactos Agua Celica'!G107)</f>
        <v>0981510109</v>
      </c>
      <c r="D110" s="19" t="str">
        <f>IF(ISBLANK('Contactos Agua Celica'!H107),"",MID('Contactos Agua Celica'!H107,1,FIND(",",'Contactos Agua Celica'!H107,1)-1))</f>
        <v/>
      </c>
      <c r="E110" s="19" t="str">
        <f>IF(ISBLANK('Contactos Agua Celica'!H107),"",MID('Contactos Agua Celica'!H107,FIND(",",'Contactos Agua Celica'!H107,1)+1,LEN('Contactos Agua Celica'!H107)))</f>
        <v/>
      </c>
      <c r="F110" s="11" t="s">
        <v>1256</v>
      </c>
      <c r="G110" s="19" t="str">
        <f>IF(ISBLANK('Contactos Agua Celica'!F107)," ","false")</f>
        <v>false</v>
      </c>
      <c r="H110" s="19" t="str">
        <f>IF(ISBLANK('Contactos Agua Celica'!F107)," ","0")</f>
        <v>0</v>
      </c>
      <c r="I110" s="19" t="str">
        <f>IF(ISBLANK('Contactos Agua Celica'!F107)," ","0")</f>
        <v>0</v>
      </c>
    </row>
    <row r="111" spans="1:9" x14ac:dyDescent="0.3">
      <c r="A111" s="19" t="s">
        <v>725</v>
      </c>
      <c r="B111" s="20" t="str">
        <f>IF(ISBLANK('Contactos Agua Celica'!F108),"",'Contactos Agua Celica'!F108)</f>
        <v>Cliente 39</v>
      </c>
      <c r="C111" s="18" t="str">
        <f>IF(ISBLANK('Contactos Agua Celica'!G108),"",'Contactos Agua Celica'!G108)</f>
        <v>098 582 8963</v>
      </c>
      <c r="D111" s="19" t="str">
        <f>IF(ISBLANK('Contactos Agua Celica'!H108),"",MID('Contactos Agua Celica'!H108,1,FIND(",",'Contactos Agua Celica'!H108,1)-1))</f>
        <v/>
      </c>
      <c r="E111" s="19" t="str">
        <f>IF(ISBLANK('Contactos Agua Celica'!H108),"",MID('Contactos Agua Celica'!H108,FIND(",",'Contactos Agua Celica'!H108,1)+1,LEN('Contactos Agua Celica'!H108)))</f>
        <v/>
      </c>
      <c r="F111" s="11" t="s">
        <v>1255</v>
      </c>
      <c r="G111" s="19" t="str">
        <f>IF(ISBLANK('Contactos Agua Celica'!F108)," ","false")</f>
        <v>false</v>
      </c>
      <c r="H111" s="19" t="str">
        <f>IF(ISBLANK('Contactos Agua Celica'!F108)," ","0")</f>
        <v>0</v>
      </c>
      <c r="I111" s="19" t="str">
        <f>IF(ISBLANK('Contactos Agua Celica'!F108)," ","0")</f>
        <v>0</v>
      </c>
    </row>
    <row r="112" spans="1:9" x14ac:dyDescent="0.3">
      <c r="A112" s="19" t="s">
        <v>726</v>
      </c>
      <c r="B112" s="20" t="str">
        <f>IF(ISBLANK('Contactos Agua Celica'!F109),"",'Contactos Agua Celica'!F109)</f>
        <v>Cliente 40</v>
      </c>
      <c r="C112" s="18" t="str">
        <f>IF(ISBLANK('Contactos Agua Celica'!G109),"",'Contactos Agua Celica'!G109)</f>
        <v>098 556 5776</v>
      </c>
      <c r="D112" s="19" t="str">
        <f>IF(ISBLANK('Contactos Agua Celica'!H109),"",MID('Contactos Agua Celica'!H109,1,FIND(",",'Contactos Agua Celica'!H109,1)-1))</f>
        <v/>
      </c>
      <c r="E112" s="19" t="str">
        <f>IF(ISBLANK('Contactos Agua Celica'!H109),"",MID('Contactos Agua Celica'!H109,FIND(",",'Contactos Agua Celica'!H109,1)+1,LEN('Contactos Agua Celica'!H109)))</f>
        <v/>
      </c>
      <c r="F112" s="11" t="s">
        <v>1267</v>
      </c>
      <c r="G112" s="19" t="str">
        <f>IF(ISBLANK('Contactos Agua Celica'!F109)," ","false")</f>
        <v>false</v>
      </c>
      <c r="H112" s="19" t="str">
        <f>IF(ISBLANK('Contactos Agua Celica'!F109)," ","0")</f>
        <v>0</v>
      </c>
      <c r="I112" s="19" t="str">
        <f>IF(ISBLANK('Contactos Agua Celica'!F109)," ","0")</f>
        <v>0</v>
      </c>
    </row>
    <row r="113" spans="1:9" x14ac:dyDescent="0.3">
      <c r="A113" s="19" t="s">
        <v>727</v>
      </c>
      <c r="B113" s="20" t="str">
        <f>IF(ISBLANK('Contactos Agua Celica'!F110),"",'Contactos Agua Celica'!F110)</f>
        <v>Cliente 41</v>
      </c>
      <c r="C113" s="18" t="str">
        <f>IF(ISBLANK('Contactos Agua Celica'!G110),"",'Contactos Agua Celica'!G110)</f>
        <v>096 759 6081</v>
      </c>
      <c r="D113" s="19" t="str">
        <f>IF(ISBLANK('Contactos Agua Celica'!H110),"",MID('Contactos Agua Celica'!H110,1,FIND(",",'Contactos Agua Celica'!H110,1)-1))</f>
        <v/>
      </c>
      <c r="E113" s="19" t="str">
        <f>IF(ISBLANK('Contactos Agua Celica'!H110),"",MID('Contactos Agua Celica'!H110,FIND(",",'Contactos Agua Celica'!H110,1)+1,LEN('Contactos Agua Celica'!H110)))</f>
        <v/>
      </c>
      <c r="F113" s="11" t="s">
        <v>1258</v>
      </c>
      <c r="G113" s="19" t="str">
        <f>IF(ISBLANK('Contactos Agua Celica'!F110)," ","false")</f>
        <v>false</v>
      </c>
      <c r="H113" s="19" t="str">
        <f>IF(ISBLANK('Contactos Agua Celica'!F110)," ","0")</f>
        <v>0</v>
      </c>
      <c r="I113" s="19" t="str">
        <f>IF(ISBLANK('Contactos Agua Celica'!F110)," ","0")</f>
        <v>0</v>
      </c>
    </row>
    <row r="114" spans="1:9" x14ac:dyDescent="0.3">
      <c r="A114" s="19" t="s">
        <v>728</v>
      </c>
      <c r="B114" s="20" t="str">
        <f>IF(ISBLANK('Contactos Agua Celica'!F111),"",'Contactos Agua Celica'!F111)</f>
        <v>Cliente 41</v>
      </c>
      <c r="C114" s="18" t="str">
        <f>IF(ISBLANK('Contactos Agua Celica'!G111),"",'Contactos Agua Celica'!G111)</f>
        <v>0993756531</v>
      </c>
      <c r="D114" s="19" t="str">
        <f>IF(ISBLANK('Contactos Agua Celica'!H111),"",MID('Contactos Agua Celica'!H111,1,FIND(",",'Contactos Agua Celica'!H111,1)-1))</f>
        <v/>
      </c>
      <c r="E114" s="19" t="str">
        <f>IF(ISBLANK('Contactos Agua Celica'!H111),"",MID('Contactos Agua Celica'!H111,FIND(",",'Contactos Agua Celica'!H111,1)+1,LEN('Contactos Agua Celica'!H111)))</f>
        <v/>
      </c>
      <c r="F114" s="11" t="s">
        <v>1258</v>
      </c>
      <c r="G114" s="19" t="str">
        <f>IF(ISBLANK('Contactos Agua Celica'!F111)," ","false")</f>
        <v>false</v>
      </c>
      <c r="H114" s="19" t="str">
        <f>IF(ISBLANK('Contactos Agua Celica'!F111)," ","0")</f>
        <v>0</v>
      </c>
      <c r="I114" s="19" t="str">
        <f>IF(ISBLANK('Contactos Agua Celica'!F111)," ","0")</f>
        <v>0</v>
      </c>
    </row>
    <row r="115" spans="1:9" x14ac:dyDescent="0.3">
      <c r="A115" s="19" t="s">
        <v>729</v>
      </c>
      <c r="B115" s="20" t="str">
        <f>IF(ISBLANK('Contactos Agua Celica'!F112),"",'Contactos Agua Celica'!F112)</f>
        <v>Cliente 42</v>
      </c>
      <c r="C115" s="18" t="str">
        <f>IF(ISBLANK('Contactos Agua Celica'!G112),"",'Contactos Agua Celica'!G112)</f>
        <v>0996076687</v>
      </c>
      <c r="D115" s="19" t="str">
        <f>IF(ISBLANK('Contactos Agua Celica'!H112),"",MID('Contactos Agua Celica'!H112,1,FIND(",",'Contactos Agua Celica'!H112,1)-1))</f>
        <v/>
      </c>
      <c r="E115" s="19" t="str">
        <f>IF(ISBLANK('Contactos Agua Celica'!H112),"",MID('Contactos Agua Celica'!H112,FIND(",",'Contactos Agua Celica'!H112,1)+1,LEN('Contactos Agua Celica'!H112)))</f>
        <v/>
      </c>
      <c r="F115" s="11" t="s">
        <v>1258</v>
      </c>
      <c r="G115" s="19" t="str">
        <f>IF(ISBLANK('Contactos Agua Celica'!F112)," ","false")</f>
        <v>false</v>
      </c>
      <c r="H115" s="19" t="str">
        <f>IF(ISBLANK('Contactos Agua Celica'!F112)," ","0")</f>
        <v>0</v>
      </c>
      <c r="I115" s="19" t="str">
        <f>IF(ISBLANK('Contactos Agua Celica'!F112)," ","0")</f>
        <v>0</v>
      </c>
    </row>
    <row r="116" spans="1:9" x14ac:dyDescent="0.3">
      <c r="A116" s="19" t="s">
        <v>730</v>
      </c>
      <c r="B116" s="20" t="str">
        <f>IF(ISBLANK('Contactos Agua Celica'!F113),"",'Contactos Agua Celica'!F113)</f>
        <v>Cliente 43</v>
      </c>
      <c r="C116" s="18" t="str">
        <f>IF(ISBLANK('Contactos Agua Celica'!G113),"",'Contactos Agua Celica'!G113)</f>
        <v>0985743325</v>
      </c>
      <c r="D116" s="19" t="str">
        <f>IF(ISBLANK('Contactos Agua Celica'!H113),"",MID('Contactos Agua Celica'!H113,1,FIND(",",'Contactos Agua Celica'!H113,1)-1))</f>
        <v/>
      </c>
      <c r="E116" s="19" t="str">
        <f>IF(ISBLANK('Contactos Agua Celica'!H113),"",MID('Contactos Agua Celica'!H113,FIND(",",'Contactos Agua Celica'!H113,1)+1,LEN('Contactos Agua Celica'!H113)))</f>
        <v/>
      </c>
      <c r="F116" s="11" t="s">
        <v>1267</v>
      </c>
      <c r="G116" s="19" t="str">
        <f>IF(ISBLANK('Contactos Agua Celica'!F113)," ","false")</f>
        <v>false</v>
      </c>
      <c r="H116" s="19" t="str">
        <f>IF(ISBLANK('Contactos Agua Celica'!F113)," ","0")</f>
        <v>0</v>
      </c>
      <c r="I116" s="19" t="str">
        <f>IF(ISBLANK('Contactos Agua Celica'!F113)," ","0")</f>
        <v>0</v>
      </c>
    </row>
    <row r="117" spans="1:9" x14ac:dyDescent="0.3">
      <c r="A117" s="19" t="s">
        <v>731</v>
      </c>
      <c r="B117" s="20" t="str">
        <f>IF(ISBLANK('Contactos Agua Celica'!F114),"",'Contactos Agua Celica'!F114)</f>
        <v>Cliente 45</v>
      </c>
      <c r="C117" s="18" t="str">
        <f>IF(ISBLANK('Contactos Agua Celica'!G114),"",'Contactos Agua Celica'!G114)</f>
        <v>+593959825220</v>
      </c>
      <c r="D117" s="19" t="str">
        <f>IF(ISBLANK('Contactos Agua Celica'!H114),"",MID('Contactos Agua Celica'!H114,1,FIND(",",'Contactos Agua Celica'!H114,1)-1))</f>
        <v/>
      </c>
      <c r="E117" s="19" t="str">
        <f>IF(ISBLANK('Contactos Agua Celica'!H114),"",MID('Contactos Agua Celica'!H114,FIND(",",'Contactos Agua Celica'!H114,1)+1,LEN('Contactos Agua Celica'!H114)))</f>
        <v/>
      </c>
      <c r="F117" s="11" t="s">
        <v>1267</v>
      </c>
      <c r="G117" s="19" t="str">
        <f>IF(ISBLANK('Contactos Agua Celica'!F114)," ","false")</f>
        <v>false</v>
      </c>
      <c r="H117" s="19" t="str">
        <f>IF(ISBLANK('Contactos Agua Celica'!F114)," ","0")</f>
        <v>0</v>
      </c>
      <c r="I117" s="19" t="str">
        <f>IF(ISBLANK('Contactos Agua Celica'!F114)," ","0")</f>
        <v>0</v>
      </c>
    </row>
    <row r="118" spans="1:9" x14ac:dyDescent="0.3">
      <c r="A118" s="19" t="s">
        <v>732</v>
      </c>
      <c r="B118" s="20" t="str">
        <f>IF(ISBLANK('Contactos Agua Celica'!F115),"",'Contactos Agua Celica'!F115)</f>
        <v>Cliente 46</v>
      </c>
      <c r="C118" s="18" t="str">
        <f>IF(ISBLANK('Contactos Agua Celica'!G115),"",'Contactos Agua Celica'!G115)</f>
        <v>0997866456</v>
      </c>
      <c r="D118" s="19" t="str">
        <f>IF(ISBLANK('Contactos Agua Celica'!H115),"",MID('Contactos Agua Celica'!H115,1,FIND(",",'Contactos Agua Celica'!H115,1)-1))</f>
        <v/>
      </c>
      <c r="E118" s="19" t="str">
        <f>IF(ISBLANK('Contactos Agua Celica'!H115),"",MID('Contactos Agua Celica'!H115,FIND(",",'Contactos Agua Celica'!H115,1)+1,LEN('Contactos Agua Celica'!H115)))</f>
        <v/>
      </c>
      <c r="F118" s="11" t="s">
        <v>1260</v>
      </c>
      <c r="G118" s="19" t="str">
        <f>IF(ISBLANK('Contactos Agua Celica'!F115)," ","false")</f>
        <v>false</v>
      </c>
      <c r="H118" s="19" t="str">
        <f>IF(ISBLANK('Contactos Agua Celica'!F115)," ","0")</f>
        <v>0</v>
      </c>
      <c r="I118" s="19" t="str">
        <f>IF(ISBLANK('Contactos Agua Celica'!F115)," ","0")</f>
        <v>0</v>
      </c>
    </row>
    <row r="119" spans="1:9" x14ac:dyDescent="0.3">
      <c r="A119" s="19" t="s">
        <v>733</v>
      </c>
      <c r="B119" s="20" t="str">
        <f>IF(ISBLANK('Contactos Agua Celica'!F116),"",'Contactos Agua Celica'!F116)</f>
        <v>Cliente 47</v>
      </c>
      <c r="C119" s="18" t="str">
        <f>IF(ISBLANK('Contactos Agua Celica'!G116),"",'Contactos Agua Celica'!G116)</f>
        <v>0991844428</v>
      </c>
      <c r="D119" s="19" t="str">
        <f>IF(ISBLANK('Contactos Agua Celica'!H116),"",MID('Contactos Agua Celica'!H116,1,FIND(",",'Contactos Agua Celica'!H116,1)-1))</f>
        <v/>
      </c>
      <c r="E119" s="19" t="str">
        <f>IF(ISBLANK('Contactos Agua Celica'!H116),"",MID('Contactos Agua Celica'!H116,FIND(",",'Contactos Agua Celica'!H116,1)+1,LEN('Contactos Agua Celica'!H116)))</f>
        <v/>
      </c>
      <c r="F119" s="11" t="s">
        <v>1257</v>
      </c>
      <c r="G119" s="19" t="str">
        <f>IF(ISBLANK('Contactos Agua Celica'!F116)," ","false")</f>
        <v>false</v>
      </c>
      <c r="H119" s="19" t="str">
        <f>IF(ISBLANK('Contactos Agua Celica'!F116)," ","0")</f>
        <v>0</v>
      </c>
      <c r="I119" s="19" t="str">
        <f>IF(ISBLANK('Contactos Agua Celica'!F116)," ","0")</f>
        <v>0</v>
      </c>
    </row>
    <row r="120" spans="1:9" x14ac:dyDescent="0.3">
      <c r="A120" s="19" t="s">
        <v>734</v>
      </c>
      <c r="B120" s="20" t="str">
        <f>IF(ISBLANK('Contactos Agua Celica'!F117),"",'Contactos Agua Celica'!F117)</f>
        <v>Cliente 48</v>
      </c>
      <c r="C120" s="18" t="str">
        <f>IF(ISBLANK('Contactos Agua Celica'!G117),"",'Contactos Agua Celica'!G117)</f>
        <v>0968055003</v>
      </c>
      <c r="D120" s="19" t="str">
        <f>IF(ISBLANK('Contactos Agua Celica'!H117),"",MID('Contactos Agua Celica'!H117,1,FIND(",",'Contactos Agua Celica'!H117,1)-1))</f>
        <v/>
      </c>
      <c r="E120" s="19" t="str">
        <f>IF(ISBLANK('Contactos Agua Celica'!H117),"",MID('Contactos Agua Celica'!H117,FIND(",",'Contactos Agua Celica'!H117,1)+1,LEN('Contactos Agua Celica'!H117)))</f>
        <v/>
      </c>
      <c r="F120" s="11" t="s">
        <v>1267</v>
      </c>
      <c r="G120" s="19" t="str">
        <f>IF(ISBLANK('Contactos Agua Celica'!F117)," ","false")</f>
        <v>false</v>
      </c>
      <c r="H120" s="19" t="str">
        <f>IF(ISBLANK('Contactos Agua Celica'!F117)," ","0")</f>
        <v>0</v>
      </c>
      <c r="I120" s="19" t="str">
        <f>IF(ISBLANK('Contactos Agua Celica'!F117)," ","0")</f>
        <v>0</v>
      </c>
    </row>
    <row r="121" spans="1:9" x14ac:dyDescent="0.3">
      <c r="A121" s="19" t="s">
        <v>735</v>
      </c>
      <c r="B121" s="20" t="str">
        <f>IF(ISBLANK('Contactos Agua Celica'!F118),"",'Contactos Agua Celica'!F118)</f>
        <v>Cliente 50</v>
      </c>
      <c r="C121" s="18" t="str">
        <f>IF(ISBLANK('Contactos Agua Celica'!G118),"",'Contactos Agua Celica'!G118)</f>
        <v>0996092380</v>
      </c>
      <c r="D121" s="19" t="str">
        <f>IF(ISBLANK('Contactos Agua Celica'!H118),"",MID('Contactos Agua Celica'!H118,1,FIND(",",'Contactos Agua Celica'!H118,1)-1))</f>
        <v/>
      </c>
      <c r="E121" s="19" t="str">
        <f>IF(ISBLANK('Contactos Agua Celica'!H118),"",MID('Contactos Agua Celica'!H118,FIND(",",'Contactos Agua Celica'!H118,1)+1,LEN('Contactos Agua Celica'!H118)))</f>
        <v/>
      </c>
      <c r="F121" s="11" t="s">
        <v>1257</v>
      </c>
      <c r="G121" s="19" t="str">
        <f>IF(ISBLANK('Contactos Agua Celica'!F118)," ","false")</f>
        <v>false</v>
      </c>
      <c r="H121" s="19" t="str">
        <f>IF(ISBLANK('Contactos Agua Celica'!F118)," ","0")</f>
        <v>0</v>
      </c>
      <c r="I121" s="19" t="str">
        <f>IF(ISBLANK('Contactos Agua Celica'!F118)," ","0")</f>
        <v>0</v>
      </c>
    </row>
    <row r="122" spans="1:9" x14ac:dyDescent="0.3">
      <c r="A122" s="19" t="s">
        <v>736</v>
      </c>
      <c r="B122" s="20" t="str">
        <f>IF(ISBLANK('Contactos Agua Celica'!F119),"",'Contactos Agua Celica'!F119)</f>
        <v>Cliente 51</v>
      </c>
      <c r="C122" s="18" t="str">
        <f>IF(ISBLANK('Contactos Agua Celica'!G119),"",'Contactos Agua Celica'!G119)</f>
        <v>0995402736</v>
      </c>
      <c r="D122" s="19" t="str">
        <f>IF(ISBLANK('Contactos Agua Celica'!H119),"",MID('Contactos Agua Celica'!H119,1,FIND(",",'Contactos Agua Celica'!H119,1)-1))</f>
        <v/>
      </c>
      <c r="E122" s="19" t="str">
        <f>IF(ISBLANK('Contactos Agua Celica'!H119),"",MID('Contactos Agua Celica'!H119,FIND(",",'Contactos Agua Celica'!H119,1)+1,LEN('Contactos Agua Celica'!H119)))</f>
        <v/>
      </c>
      <c r="F122" s="11" t="s">
        <v>1261</v>
      </c>
      <c r="G122" s="19" t="str">
        <f>IF(ISBLANK('Contactos Agua Celica'!F119)," ","false")</f>
        <v>false</v>
      </c>
      <c r="H122" s="19" t="str">
        <f>IF(ISBLANK('Contactos Agua Celica'!F119)," ","0")</f>
        <v>0</v>
      </c>
      <c r="I122" s="19" t="str">
        <f>IF(ISBLANK('Contactos Agua Celica'!F119)," ","0")</f>
        <v>0</v>
      </c>
    </row>
    <row r="123" spans="1:9" x14ac:dyDescent="0.3">
      <c r="A123" s="19" t="s">
        <v>737</v>
      </c>
      <c r="B123" s="20" t="str">
        <f>IF(ISBLANK('Contactos Agua Celica'!F120),"",'Contactos Agua Celica'!F120)</f>
        <v>Cliente 52</v>
      </c>
      <c r="C123" s="18" t="str">
        <f>IF(ISBLANK('Contactos Agua Celica'!G120),"",'Contactos Agua Celica'!G120)</f>
        <v>+593990953911</v>
      </c>
      <c r="D123" s="19" t="str">
        <f>IF(ISBLANK('Contactos Agua Celica'!H120),"",MID('Contactos Agua Celica'!H120,1,FIND(",",'Contactos Agua Celica'!H120,1)-1))</f>
        <v/>
      </c>
      <c r="E123" s="19" t="str">
        <f>IF(ISBLANK('Contactos Agua Celica'!H120),"",MID('Contactos Agua Celica'!H120,FIND(",",'Contactos Agua Celica'!H120,1)+1,LEN('Contactos Agua Celica'!H120)))</f>
        <v/>
      </c>
      <c r="F123" s="11" t="s">
        <v>1267</v>
      </c>
      <c r="G123" s="19" t="str">
        <f>IF(ISBLANK('Contactos Agua Celica'!F120)," ","false")</f>
        <v>false</v>
      </c>
      <c r="H123" s="19" t="str">
        <f>IF(ISBLANK('Contactos Agua Celica'!F120)," ","0")</f>
        <v>0</v>
      </c>
      <c r="I123" s="19" t="str">
        <f>IF(ISBLANK('Contactos Agua Celica'!F120)," ","0")</f>
        <v>0</v>
      </c>
    </row>
    <row r="124" spans="1:9" x14ac:dyDescent="0.3">
      <c r="A124" s="19" t="s">
        <v>738</v>
      </c>
      <c r="B124" s="20" t="str">
        <f>IF(ISBLANK('Contactos Agua Celica'!F121),"",'Contactos Agua Celica'!F121)</f>
        <v>cliente 88</v>
      </c>
      <c r="C124" s="18" t="str">
        <f>IF(ISBLANK('Contactos Agua Celica'!G121),"",'Contactos Agua Celica'!G121)</f>
        <v>+593 98 992 0238</v>
      </c>
      <c r="D124" s="19" t="str">
        <f>IF(ISBLANK('Contactos Agua Celica'!H121),"",MID('Contactos Agua Celica'!H121,1,FIND(",",'Contactos Agua Celica'!H121,1)-1))</f>
        <v/>
      </c>
      <c r="E124" s="19" t="str">
        <f>IF(ISBLANK('Contactos Agua Celica'!H121),"",MID('Contactos Agua Celica'!H121,FIND(",",'Contactos Agua Celica'!H121,1)+1,LEN('Contactos Agua Celica'!H121)))</f>
        <v/>
      </c>
      <c r="F124" s="11" t="s">
        <v>1267</v>
      </c>
      <c r="G124" s="19" t="str">
        <f>IF(ISBLANK('Contactos Agua Celica'!F121)," ","false")</f>
        <v>false</v>
      </c>
      <c r="H124" s="19" t="str">
        <f>IF(ISBLANK('Contactos Agua Celica'!F121)," ","0")</f>
        <v>0</v>
      </c>
      <c r="I124" s="19" t="str">
        <f>IF(ISBLANK('Contactos Agua Celica'!F121)," ","0")</f>
        <v>0</v>
      </c>
    </row>
    <row r="125" spans="1:9" x14ac:dyDescent="0.3">
      <c r="A125" s="19" t="s">
        <v>739</v>
      </c>
      <c r="B125" s="20" t="str">
        <f>IF(ISBLANK('Contactos Agua Celica'!F122),"",'Contactos Agua Celica'!F122)</f>
        <v>cliente 999</v>
      </c>
      <c r="C125" s="18" t="str">
        <f>IF(ISBLANK('Contactos Agua Celica'!G122),"",'Contactos Agua Celica'!G122)</f>
        <v>0988711049</v>
      </c>
      <c r="D125" s="19" t="str">
        <f>IF(ISBLANK('Contactos Agua Celica'!H122),"",MID('Contactos Agua Celica'!H122,1,FIND(",",'Contactos Agua Celica'!H122,1)-1))</f>
        <v/>
      </c>
      <c r="E125" s="19" t="str">
        <f>IF(ISBLANK('Contactos Agua Celica'!H122),"",MID('Contactos Agua Celica'!H122,FIND(",",'Contactos Agua Celica'!H122,1)+1,LEN('Contactos Agua Celica'!H122)))</f>
        <v/>
      </c>
      <c r="F125" s="11" t="s">
        <v>1254</v>
      </c>
      <c r="G125" s="19" t="str">
        <f>IF(ISBLANK('Contactos Agua Celica'!F122)," ","false")</f>
        <v>false</v>
      </c>
      <c r="H125" s="19" t="str">
        <f>IF(ISBLANK('Contactos Agua Celica'!F122)," ","0")</f>
        <v>0</v>
      </c>
      <c r="I125" s="19" t="str">
        <f>IF(ISBLANK('Contactos Agua Celica'!F122)," ","0")</f>
        <v>0</v>
      </c>
    </row>
    <row r="126" spans="1:9" x14ac:dyDescent="0.3">
      <c r="A126" s="19" t="s">
        <v>740</v>
      </c>
      <c r="B126" s="20" t="str">
        <f>IF(ISBLANK('Contactos Agua Celica'!F123),"",'Contactos Agua Celica'!F123)</f>
        <v>Cliente Boletos</v>
      </c>
      <c r="C126" s="18" t="str">
        <f>IF(ISBLANK('Contactos Agua Celica'!G123),"",'Contactos Agua Celica'!G123)</f>
        <v>+57 301 5745505</v>
      </c>
      <c r="D126" s="19" t="str">
        <f>IF(ISBLANK('Contactos Agua Celica'!H123),"",MID('Contactos Agua Celica'!H123,1,FIND(",",'Contactos Agua Celica'!H123,1)-1))</f>
        <v/>
      </c>
      <c r="E126" s="19" t="str">
        <f>IF(ISBLANK('Contactos Agua Celica'!H123),"",MID('Contactos Agua Celica'!H123,FIND(",",'Contactos Agua Celica'!H123,1)+1,LEN('Contactos Agua Celica'!H123)))</f>
        <v/>
      </c>
      <c r="F126" s="11" t="s">
        <v>1267</v>
      </c>
      <c r="G126" s="19" t="str">
        <f>IF(ISBLANK('Contactos Agua Celica'!F123)," ","false")</f>
        <v>false</v>
      </c>
      <c r="H126" s="19" t="str">
        <f>IF(ISBLANK('Contactos Agua Celica'!F123)," ","0")</f>
        <v>0</v>
      </c>
      <c r="I126" s="19" t="str">
        <f>IF(ISBLANK('Contactos Agua Celica'!F123)," ","0")</f>
        <v>0</v>
      </c>
    </row>
    <row r="127" spans="1:9" x14ac:dyDescent="0.3">
      <c r="A127" s="19" t="s">
        <v>741</v>
      </c>
      <c r="B127" s="20" t="str">
        <f>IF(ISBLANK('Contactos Agua Celica'!F124),"",'Contactos Agua Celica'!F124)</f>
        <v>Cliente Buca</v>
      </c>
      <c r="C127" s="18" t="str">
        <f>IF(ISBLANK('Contactos Agua Celica'!G124),"",'Contactos Agua Celica'!G124)</f>
        <v>0959566187</v>
      </c>
      <c r="D127" s="19" t="str">
        <f>IF(ISBLANK('Contactos Agua Celica'!H124),"",MID('Contactos Agua Celica'!H124,1,FIND(",",'Contactos Agua Celica'!H124,1)-1))</f>
        <v>-4.103461551025725</v>
      </c>
      <c r="E127" s="19" t="str">
        <f>IF(ISBLANK('Contactos Agua Celica'!H124),"",MID('Contactos Agua Celica'!H124,FIND(",",'Contactos Agua Celica'!H124,1)+1,LEN('Contactos Agua Celica'!H124)))</f>
        <v xml:space="preserve"> -79.95447407655487</v>
      </c>
      <c r="F127" s="11" t="s">
        <v>1267</v>
      </c>
      <c r="G127" s="19" t="str">
        <f>IF(ISBLANK('Contactos Agua Celica'!F124)," ","false")</f>
        <v>false</v>
      </c>
      <c r="H127" s="19" t="str">
        <f>IF(ISBLANK('Contactos Agua Celica'!F124)," ","0")</f>
        <v>0</v>
      </c>
      <c r="I127" s="19" t="str">
        <f>IF(ISBLANK('Contactos Agua Celica'!F124)," ","0")</f>
        <v>0</v>
      </c>
    </row>
    <row r="128" spans="1:9" x14ac:dyDescent="0.3">
      <c r="A128" s="19" t="s">
        <v>742</v>
      </c>
      <c r="B128" s="20" t="str">
        <f>IF(ISBLANK('Contactos Agua Celica'!F125),"",'Contactos Agua Celica'!F125)</f>
        <v>Cliente Chile</v>
      </c>
      <c r="C128" s="18" t="str">
        <f>IF(ISBLANK('Contactos Agua Celica'!G125),"",'Contactos Agua Celica'!G125)</f>
        <v>099 701 6566</v>
      </c>
      <c r="D128" s="19" t="str">
        <f>IF(ISBLANK('Contactos Agua Celica'!H125),"",MID('Contactos Agua Celica'!H125,1,FIND(",",'Contactos Agua Celica'!H125,1)-1))</f>
        <v>-4.1029893545971525</v>
      </c>
      <c r="E128" s="19" t="str">
        <f>IF(ISBLANK('Contactos Agua Celica'!H125),"",MID('Contactos Agua Celica'!H125,FIND(",",'Contactos Agua Celica'!H125,1)+1,LEN('Contactos Agua Celica'!H125)))</f>
        <v xml:space="preserve"> -79.95660576216434</v>
      </c>
      <c r="F128" s="11" t="s">
        <v>1267</v>
      </c>
      <c r="G128" s="19" t="str">
        <f>IF(ISBLANK('Contactos Agua Celica'!F125)," ","false")</f>
        <v>false</v>
      </c>
      <c r="H128" s="19" t="str">
        <f>IF(ISBLANK('Contactos Agua Celica'!F125)," ","0")</f>
        <v>0</v>
      </c>
      <c r="I128" s="19" t="str">
        <f>IF(ISBLANK('Contactos Agua Celica'!F125)," ","0")</f>
        <v>0</v>
      </c>
    </row>
    <row r="129" spans="1:9" x14ac:dyDescent="0.3">
      <c r="A129" s="19" t="s">
        <v>743</v>
      </c>
      <c r="B129" s="20" t="str">
        <f>IF(ISBLANK('Contactos Agua Celica'!F126),"",'Contactos Agua Celica'!F126)</f>
        <v>Cliente Doña Piedad Paulina</v>
      </c>
      <c r="C129" s="18" t="str">
        <f>IF(ISBLANK('Contactos Agua Celica'!G126),"",'Contactos Agua Celica'!G126)</f>
        <v>099 796 2335</v>
      </c>
      <c r="D129" s="19" t="str">
        <f>IF(ISBLANK('Contactos Agua Celica'!H126),"",MID('Contactos Agua Celica'!H126,1,FIND(",",'Contactos Agua Celica'!H126,1)-1))</f>
        <v>-4.1030615886384005</v>
      </c>
      <c r="E129" s="19" t="str">
        <f>IF(ISBLANK('Contactos Agua Celica'!H126),"",MID('Contactos Agua Celica'!H126,FIND(",",'Contactos Agua Celica'!H126,1)+1,LEN('Contactos Agua Celica'!H126)))</f>
        <v xml:space="preserve"> -79.95703491560553</v>
      </c>
      <c r="F129" s="11" t="s">
        <v>1268</v>
      </c>
      <c r="G129" s="19" t="str">
        <f>IF(ISBLANK('Contactos Agua Celica'!F126)," ","false")</f>
        <v>false</v>
      </c>
      <c r="H129" s="19" t="str">
        <f>IF(ISBLANK('Contactos Agua Celica'!F126)," ","0")</f>
        <v>0</v>
      </c>
      <c r="I129" s="19" t="str">
        <f>IF(ISBLANK('Contactos Agua Celica'!F126)," ","0")</f>
        <v>0</v>
      </c>
    </row>
    <row r="130" spans="1:9" x14ac:dyDescent="0.3">
      <c r="A130" s="19" t="s">
        <v>744</v>
      </c>
      <c r="B130" s="20" t="str">
        <f>IF(ISBLANK('Contactos Agua Celica'!F127),"",'Contactos Agua Celica'!F127)</f>
        <v>Cliente Dr Pedro Lalangi</v>
      </c>
      <c r="C130" s="18" t="str">
        <f>IF(ISBLANK('Contactos Agua Celica'!G127),"",'Contactos Agua Celica'!G127)</f>
        <v>+593 99 414 5092</v>
      </c>
      <c r="D130" s="19" t="str">
        <f>IF(ISBLANK('Contactos Agua Celica'!H127),"",MID('Contactos Agua Celica'!H127,1,FIND(",",'Contactos Agua Celica'!H127,1)-1))</f>
        <v>-4.104372501414455</v>
      </c>
      <c r="E130" s="19" t="str">
        <f>IF(ISBLANK('Contactos Agua Celica'!H127),"",MID('Contactos Agua Celica'!H127,FIND(",",'Contactos Agua Celica'!H127,1)+1,LEN('Contactos Agua Celica'!H127)))</f>
        <v xml:space="preserve"> -79.95650048546811</v>
      </c>
      <c r="F130" s="11" t="s">
        <v>1268</v>
      </c>
      <c r="G130" s="19" t="str">
        <f>IF(ISBLANK('Contactos Agua Celica'!F127)," ","false")</f>
        <v>false</v>
      </c>
      <c r="H130" s="19" t="str">
        <f>IF(ISBLANK('Contactos Agua Celica'!F127)," ","0")</f>
        <v>0</v>
      </c>
      <c r="I130" s="19" t="str">
        <f>IF(ISBLANK('Contactos Agua Celica'!F127)," ","0")</f>
        <v>0</v>
      </c>
    </row>
    <row r="131" spans="1:9" x14ac:dyDescent="0.3">
      <c r="A131" s="19" t="s">
        <v>745</v>
      </c>
      <c r="B131" s="20" t="str">
        <f>IF(ISBLANK('Contactos Agua Celica'!F128),"",'Contactos Agua Celica'!F128)</f>
        <v>Cliente Edgar Bustamante</v>
      </c>
      <c r="C131" s="18" t="str">
        <f>IF(ISBLANK('Contactos Agua Celica'!G128),"",'Contactos Agua Celica'!G128)</f>
        <v>099 926 3171</v>
      </c>
      <c r="D131" s="19" t="str">
        <f>IF(ISBLANK('Contactos Agua Celica'!H128),"",MID('Contactos Agua Celica'!H128,1,FIND(",",'Contactos Agua Celica'!H128,1)-1))</f>
        <v/>
      </c>
      <c r="E131" s="19" t="str">
        <f>IF(ISBLANK('Contactos Agua Celica'!H128),"",MID('Contactos Agua Celica'!H128,FIND(",",'Contactos Agua Celica'!H128,1)+1,LEN('Contactos Agua Celica'!H128)))</f>
        <v/>
      </c>
      <c r="F131" s="11" t="s">
        <v>1267</v>
      </c>
      <c r="G131" s="19" t="str">
        <f>IF(ISBLANK('Contactos Agua Celica'!F128)," ","false")</f>
        <v>false</v>
      </c>
      <c r="H131" s="19" t="str">
        <f>IF(ISBLANK('Contactos Agua Celica'!F128)," ","0")</f>
        <v>0</v>
      </c>
      <c r="I131" s="19" t="str">
        <f>IF(ISBLANK('Contactos Agua Celica'!F128)," ","0")</f>
        <v>0</v>
      </c>
    </row>
    <row r="132" spans="1:9" x14ac:dyDescent="0.3">
      <c r="A132" s="19" t="s">
        <v>746</v>
      </c>
      <c r="B132" s="20" t="str">
        <f>IF(ISBLANK('Contactos Agua Celica'!F129),"",'Contactos Agua Celica'!F129)</f>
        <v>Cliente Frente Del Seguro</v>
      </c>
      <c r="C132" s="18" t="str">
        <f>IF(ISBLANK('Contactos Agua Celica'!G129),"",'Contactos Agua Celica'!G129)</f>
        <v>098 816 8818</v>
      </c>
      <c r="D132" s="19" t="str">
        <f>IF(ISBLANK('Contactos Agua Celica'!H129),"",MID('Contactos Agua Celica'!H129,1,FIND(",",'Contactos Agua Celica'!H129,1)-1))</f>
        <v/>
      </c>
      <c r="E132" s="19" t="str">
        <f>IF(ISBLANK('Contactos Agua Celica'!H129),"",MID('Contactos Agua Celica'!H129,FIND(",",'Contactos Agua Celica'!H129,1)+1,LEN('Contactos Agua Celica'!H129)))</f>
        <v/>
      </c>
      <c r="F132" s="11" t="s">
        <v>1267</v>
      </c>
      <c r="G132" s="19" t="str">
        <f>IF(ISBLANK('Contactos Agua Celica'!F129)," ","false")</f>
        <v>false</v>
      </c>
      <c r="H132" s="19" t="str">
        <f>IF(ISBLANK('Contactos Agua Celica'!F129)," ","0")</f>
        <v>0</v>
      </c>
      <c r="I132" s="19" t="str">
        <f>IF(ISBLANK('Contactos Agua Celica'!F129)," ","0")</f>
        <v>0</v>
      </c>
    </row>
    <row r="133" spans="1:9" x14ac:dyDescent="0.3">
      <c r="A133" s="19" t="s">
        <v>747</v>
      </c>
      <c r="B133" s="20" t="str">
        <f>IF(ISBLANK('Contactos Agua Celica'!F130),"",'Contactos Agua Celica'!F130)</f>
        <v>Cliente Jorge Jaramillo</v>
      </c>
      <c r="C133" s="18" t="str">
        <f>IF(ISBLANK('Contactos Agua Celica'!G130),"",'Contactos Agua Celica'!G130)</f>
        <v>593996143398</v>
      </c>
      <c r="D133" s="19" t="str">
        <f>IF(ISBLANK('Contactos Agua Celica'!H130),"",MID('Contactos Agua Celica'!H130,1,FIND(",",'Contactos Agua Celica'!H130,1)-1))</f>
        <v>-4.0988762276965796</v>
      </c>
      <c r="E133" s="19" t="str">
        <f>IF(ISBLANK('Contactos Agua Celica'!H130),"",MID('Contactos Agua Celica'!H130,FIND(",",'Contactos Agua Celica'!H130,1)+1,LEN('Contactos Agua Celica'!H130)))</f>
        <v xml:space="preserve"> -79.95727979819371</v>
      </c>
      <c r="F133" s="11" t="s">
        <v>1267</v>
      </c>
      <c r="G133" s="19" t="str">
        <f>IF(ISBLANK('Contactos Agua Celica'!F130)," ","false")</f>
        <v>false</v>
      </c>
      <c r="H133" s="19" t="str">
        <f>IF(ISBLANK('Contactos Agua Celica'!F130)," ","0")</f>
        <v>0</v>
      </c>
      <c r="I133" s="19" t="str">
        <f>IF(ISBLANK('Contactos Agua Celica'!F130)," ","0")</f>
        <v>0</v>
      </c>
    </row>
    <row r="134" spans="1:9" x14ac:dyDescent="0.3">
      <c r="A134" s="19" t="s">
        <v>748</v>
      </c>
      <c r="B134" s="20" t="str">
        <f>IF(ISBLANK('Contactos Agua Celica'!F131),"",'Contactos Agua Celica'!F131)</f>
        <v>Cliente Madrugadora</v>
      </c>
      <c r="C134" s="18" t="str">
        <f>IF(ISBLANK('Contactos Agua Celica'!G131),"",'Contactos Agua Celica'!G131)</f>
        <v>+593 98 439 3311</v>
      </c>
      <c r="D134" s="19" t="str">
        <f>IF(ISBLANK('Contactos Agua Celica'!H131),"",MID('Contactos Agua Celica'!H131,1,FIND(",",'Contactos Agua Celica'!H131,1)-1))</f>
        <v/>
      </c>
      <c r="E134" s="19" t="str">
        <f>IF(ISBLANK('Contactos Agua Celica'!H131),"",MID('Contactos Agua Celica'!H131,FIND(",",'Contactos Agua Celica'!H131,1)+1,LEN('Contactos Agua Celica'!H131)))</f>
        <v/>
      </c>
      <c r="F134" s="11" t="s">
        <v>1267</v>
      </c>
      <c r="G134" s="19" t="str">
        <f>IF(ISBLANK('Contactos Agua Celica'!F131)," ","false")</f>
        <v>false</v>
      </c>
      <c r="H134" s="19" t="str">
        <f>IF(ISBLANK('Contactos Agua Celica'!F131)," ","0")</f>
        <v>0</v>
      </c>
      <c r="I134" s="19" t="str">
        <f>IF(ISBLANK('Contactos Agua Celica'!F131)," ","0")</f>
        <v>0</v>
      </c>
    </row>
    <row r="135" spans="1:9" x14ac:dyDescent="0.3">
      <c r="A135" s="19" t="s">
        <v>749</v>
      </c>
      <c r="B135" s="20" t="str">
        <f>IF(ISBLANK('Contactos Agua Celica'!F132),"",'Contactos Agua Celica'!F132)</f>
        <v>Cliente Melida Jumbo</v>
      </c>
      <c r="C135" s="18" t="str">
        <f>IF(ISBLANK('Contactos Agua Celica'!G132),"",'Contactos Agua Celica'!G132)</f>
        <v>099 191 4727</v>
      </c>
      <c r="D135" s="19" t="str">
        <f>IF(ISBLANK('Contactos Agua Celica'!H132),"",MID('Contactos Agua Celica'!H132,1,FIND(",",'Contactos Agua Celica'!H132,1)-1))</f>
        <v/>
      </c>
      <c r="E135" s="19" t="str">
        <f>IF(ISBLANK('Contactos Agua Celica'!H132),"",MID('Contactos Agua Celica'!H132,FIND(",",'Contactos Agua Celica'!H132,1)+1,LEN('Contactos Agua Celica'!H132)))</f>
        <v/>
      </c>
      <c r="F135" s="11" t="s">
        <v>1258</v>
      </c>
      <c r="G135" s="19" t="str">
        <f>IF(ISBLANK('Contactos Agua Celica'!F132)," ","false")</f>
        <v>false</v>
      </c>
      <c r="H135" s="19" t="str">
        <f>IF(ISBLANK('Contactos Agua Celica'!F132)," ","0")</f>
        <v>0</v>
      </c>
      <c r="I135" s="19" t="str">
        <f>IF(ISBLANK('Contactos Agua Celica'!F132)," ","0")</f>
        <v>0</v>
      </c>
    </row>
    <row r="136" spans="1:9" x14ac:dyDescent="0.3">
      <c r="A136" s="19" t="s">
        <v>750</v>
      </c>
      <c r="B136" s="20" t="str">
        <f>IF(ISBLANK('Contactos Agua Celica'!F133),"",'Contactos Agua Celica'!F133)</f>
        <v>Cliente Panadería</v>
      </c>
      <c r="C136" s="18" t="str">
        <f>IF(ISBLANK('Contactos Agua Celica'!G133),"",'Contactos Agua Celica'!G133)</f>
        <v>099 112 8356</v>
      </c>
      <c r="D136" s="19" t="str">
        <f>IF(ISBLANK('Contactos Agua Celica'!H133),"",MID('Contactos Agua Celica'!H133,1,FIND(",",'Contactos Agua Celica'!H133,1)-1))</f>
        <v>-4.1056874250389646</v>
      </c>
      <c r="E136" s="19" t="str">
        <f>IF(ISBLANK('Contactos Agua Celica'!H133),"",MID('Contactos Agua Celica'!H133,FIND(",",'Contactos Agua Celica'!H133,1)+1,LEN('Contactos Agua Celica'!H133)))</f>
        <v xml:space="preserve"> -79.95567637673685</v>
      </c>
      <c r="F136" s="11" t="s">
        <v>1267</v>
      </c>
      <c r="G136" s="19" t="str">
        <f>IF(ISBLANK('Contactos Agua Celica'!F133)," ","false")</f>
        <v>false</v>
      </c>
      <c r="H136" s="19" t="str">
        <f>IF(ISBLANK('Contactos Agua Celica'!F133)," ","0")</f>
        <v>0</v>
      </c>
      <c r="I136" s="19" t="str">
        <f>IF(ISBLANK('Contactos Agua Celica'!F133)," ","0")</f>
        <v>0</v>
      </c>
    </row>
    <row r="137" spans="1:9" x14ac:dyDescent="0.3">
      <c r="A137" s="19" t="s">
        <v>751</v>
      </c>
      <c r="B137" s="20" t="str">
        <f>IF(ISBLANK('Contactos Agua Celica'!F134),"",'Contactos Agua Celica'!F134)</f>
        <v>Cliente Sanmarti</v>
      </c>
      <c r="C137" s="18" t="str">
        <f>IF(ISBLANK('Contactos Agua Celica'!G134),"",'Contactos Agua Celica'!G134)</f>
        <v>0994009361</v>
      </c>
      <c r="D137" s="19" t="str">
        <f>IF(ISBLANK('Contactos Agua Celica'!H134),"",MID('Contactos Agua Celica'!H134,1,FIND(",",'Contactos Agua Celica'!H134,1)-1))</f>
        <v>-4.103527096693762</v>
      </c>
      <c r="E137" s="19" t="str">
        <f>IF(ISBLANK('Contactos Agua Celica'!H134),"",MID('Contactos Agua Celica'!H134,FIND(",",'Contactos Agua Celica'!H134,1)+1,LEN('Contactos Agua Celica'!H134)))</f>
        <v xml:space="preserve"> -79.95354737333959</v>
      </c>
      <c r="F137" s="11" t="s">
        <v>1267</v>
      </c>
      <c r="G137" s="19" t="str">
        <f>IF(ISBLANK('Contactos Agua Celica'!F134)," ","false")</f>
        <v>false</v>
      </c>
      <c r="H137" s="19" t="str">
        <f>IF(ISBLANK('Contactos Agua Celica'!F134)," ","0")</f>
        <v>0</v>
      </c>
      <c r="I137" s="19" t="str">
        <f>IF(ISBLANK('Contactos Agua Celica'!F134)," ","0")</f>
        <v>0</v>
      </c>
    </row>
    <row r="138" spans="1:9" x14ac:dyDescent="0.3">
      <c r="A138" s="19" t="s">
        <v>752</v>
      </c>
      <c r="B138" s="20" t="str">
        <f>IF(ISBLANK('Contactos Agua Celica'!F135),"",'Contactos Agua Celica'!F135)</f>
        <v>Cliente Susana</v>
      </c>
      <c r="C138" s="18" t="str">
        <f>IF(ISBLANK('Contactos Agua Celica'!G135),"",'Contactos Agua Celica'!G135)</f>
        <v>+593 99 532 9361</v>
      </c>
      <c r="D138" s="19" t="str">
        <f>IF(ISBLANK('Contactos Agua Celica'!H135),"",MID('Contactos Agua Celica'!H135,1,FIND(",",'Contactos Agua Celica'!H135,1)-1))</f>
        <v/>
      </c>
      <c r="E138" s="19" t="str">
        <f>IF(ISBLANK('Contactos Agua Celica'!H135),"",MID('Contactos Agua Celica'!H135,FIND(",",'Contactos Agua Celica'!H135,1)+1,LEN('Contactos Agua Celica'!H135)))</f>
        <v/>
      </c>
      <c r="F138" s="11" t="s">
        <v>1267</v>
      </c>
      <c r="G138" s="19" t="str">
        <f>IF(ISBLANK('Contactos Agua Celica'!F135)," ","false")</f>
        <v>false</v>
      </c>
      <c r="H138" s="19" t="str">
        <f>IF(ISBLANK('Contactos Agua Celica'!F135)," ","0")</f>
        <v>0</v>
      </c>
      <c r="I138" s="19" t="str">
        <f>IF(ISBLANK('Contactos Agua Celica'!F135)," ","0")</f>
        <v>0</v>
      </c>
    </row>
    <row r="139" spans="1:9" x14ac:dyDescent="0.3">
      <c r="A139" s="19" t="s">
        <v>753</v>
      </c>
      <c r="B139" s="20" t="str">
        <f>IF(ISBLANK('Contactos Agua Celica'!F136),"",'Contactos Agua Celica'!F136)</f>
        <v>Cliente Terminal Local2</v>
      </c>
      <c r="C139" s="18" t="str">
        <f>IF(ISBLANK('Contactos Agua Celica'!G136),"",'Contactos Agua Celica'!G136)</f>
        <v>+593 99 721 6006</v>
      </c>
      <c r="D139" s="19" t="str">
        <f>IF(ISBLANK('Contactos Agua Celica'!H136),"",MID('Contactos Agua Celica'!H136,1,FIND(",",'Contactos Agua Celica'!H136,1)-1))</f>
        <v>-4.1005111298565105</v>
      </c>
      <c r="E139" s="19" t="str">
        <f>IF(ISBLANK('Contactos Agua Celica'!H136),"",MID('Contactos Agua Celica'!H136,FIND(",",'Contactos Agua Celica'!H136,1)+1,LEN('Contactos Agua Celica'!H136)))</f>
        <v xml:space="preserve"> -79.95780545105781</v>
      </c>
      <c r="F139" s="11" t="s">
        <v>1267</v>
      </c>
      <c r="G139" s="19" t="str">
        <f>IF(ISBLANK('Contactos Agua Celica'!F136)," ","false")</f>
        <v>false</v>
      </c>
      <c r="H139" s="19" t="str">
        <f>IF(ISBLANK('Contactos Agua Celica'!F136)," ","0")</f>
        <v>0</v>
      </c>
      <c r="I139" s="19" t="str">
        <f>IF(ISBLANK('Contactos Agua Celica'!F136)," ","0")</f>
        <v>0</v>
      </c>
    </row>
    <row r="140" spans="1:9" x14ac:dyDescent="0.3">
      <c r="A140" s="19" t="s">
        <v>754</v>
      </c>
      <c r="B140" s="20" t="str">
        <f>IF(ISBLANK('Contactos Agua Celica'!F137),"",'Contactos Agua Celica'!F137)</f>
        <v>Cliente Zhamungu</v>
      </c>
      <c r="C140" s="18" t="str">
        <f>IF(ISBLANK('Contactos Agua Celica'!G137),"",'Contactos Agua Celica'!G137)</f>
        <v>0987301673</v>
      </c>
      <c r="D140" s="19" t="str">
        <f>IF(ISBLANK('Contactos Agua Celica'!H137),"",MID('Contactos Agua Celica'!H137,1,FIND(",",'Contactos Agua Celica'!H137,1)-1))</f>
        <v/>
      </c>
      <c r="E140" s="19" t="str">
        <f>IF(ISBLANK('Contactos Agua Celica'!H137),"",MID('Contactos Agua Celica'!H137,FIND(",",'Contactos Agua Celica'!H137,1)+1,LEN('Contactos Agua Celica'!H137)))</f>
        <v/>
      </c>
      <c r="F140" s="11" t="s">
        <v>1267</v>
      </c>
      <c r="G140" s="19" t="str">
        <f>IF(ISBLANK('Contactos Agua Celica'!F137)," ","false")</f>
        <v>false</v>
      </c>
      <c r="H140" s="19" t="str">
        <f>IF(ISBLANK('Contactos Agua Celica'!F137)," ","0")</f>
        <v>0</v>
      </c>
      <c r="I140" s="19" t="str">
        <f>IF(ISBLANK('Contactos Agua Celica'!F137)," ","0")</f>
        <v>0</v>
      </c>
    </row>
    <row r="141" spans="1:9" x14ac:dyDescent="0.3">
      <c r="A141" s="19" t="s">
        <v>755</v>
      </c>
      <c r="B141" s="20" t="str">
        <f>IF(ISBLANK('Contactos Agua Celica'!F138),"",'Contactos Agua Celica'!F138)</f>
        <v>Cliente15</v>
      </c>
      <c r="C141" s="18" t="str">
        <f>IF(ISBLANK('Contactos Agua Celica'!G138),"",'Contactos Agua Celica'!G138)</f>
        <v>099 309 5589</v>
      </c>
      <c r="D141" s="19" t="str">
        <f>IF(ISBLANK('Contactos Agua Celica'!H138),"",MID('Contactos Agua Celica'!H138,1,FIND(",",'Contactos Agua Celica'!H138,1)-1))</f>
        <v/>
      </c>
      <c r="E141" s="19" t="str">
        <f>IF(ISBLANK('Contactos Agua Celica'!H138),"",MID('Contactos Agua Celica'!H138,FIND(",",'Contactos Agua Celica'!H138,1)+1,LEN('Contactos Agua Celica'!H138)))</f>
        <v/>
      </c>
      <c r="F141" s="11" t="s">
        <v>1267</v>
      </c>
      <c r="G141" s="19" t="str">
        <f>IF(ISBLANK('Contactos Agua Celica'!F138)," ","false")</f>
        <v>false</v>
      </c>
      <c r="H141" s="19" t="str">
        <f>IF(ISBLANK('Contactos Agua Celica'!F138)," ","0")</f>
        <v>0</v>
      </c>
      <c r="I141" s="19" t="str">
        <f>IF(ISBLANK('Contactos Agua Celica'!F138)," ","0")</f>
        <v>0</v>
      </c>
    </row>
    <row r="142" spans="1:9" x14ac:dyDescent="0.3">
      <c r="A142" s="19" t="s">
        <v>756</v>
      </c>
      <c r="B142" s="20" t="str">
        <f>IF(ISBLANK('Contactos Agua Celica'!F139),"",'Contactos Agua Celica'!F139)</f>
        <v>Cristian Calero</v>
      </c>
      <c r="C142" s="18" t="str">
        <f>IF(ISBLANK('Contactos Agua Celica'!G139),"",'Contactos Agua Celica'!G139)</f>
        <v>+593 97 901 6449</v>
      </c>
      <c r="D142" s="19" t="str">
        <f>IF(ISBLANK('Contactos Agua Celica'!H139),"",MID('Contactos Agua Celica'!H139,1,FIND(",",'Contactos Agua Celica'!H139,1)-1))</f>
        <v/>
      </c>
      <c r="E142" s="19" t="str">
        <f>IF(ISBLANK('Contactos Agua Celica'!H139),"",MID('Contactos Agua Celica'!H139,FIND(",",'Contactos Agua Celica'!H139,1)+1,LEN('Contactos Agua Celica'!H139)))</f>
        <v/>
      </c>
      <c r="F142" s="11" t="s">
        <v>1260</v>
      </c>
      <c r="G142" s="19" t="str">
        <f>IF(ISBLANK('Contactos Agua Celica'!F139)," ","false")</f>
        <v>false</v>
      </c>
      <c r="H142" s="19" t="str">
        <f>IF(ISBLANK('Contactos Agua Celica'!F139)," ","0")</f>
        <v>0</v>
      </c>
      <c r="I142" s="19" t="str">
        <f>IF(ISBLANK('Contactos Agua Celica'!F139)," ","0")</f>
        <v>0</v>
      </c>
    </row>
    <row r="143" spans="1:9" x14ac:dyDescent="0.3">
      <c r="A143" s="19" t="s">
        <v>757</v>
      </c>
      <c r="B143" s="20" t="str">
        <f>IF(ISBLANK('Contactos Agua Celica'!F140),"",'Contactos Agua Celica'!F140)</f>
        <v>Cristian Martinez</v>
      </c>
      <c r="C143" s="18" t="str">
        <f>IF(ISBLANK('Contactos Agua Celica'!G140),"",'Contactos Agua Celica'!G140)</f>
        <v>098 204 2577</v>
      </c>
      <c r="D143" s="19" t="str">
        <f>IF(ISBLANK('Contactos Agua Celica'!H140),"",MID('Contactos Agua Celica'!H140,1,FIND(",",'Contactos Agua Celica'!H140,1)-1))</f>
        <v/>
      </c>
      <c r="E143" s="19" t="str">
        <f>IF(ISBLANK('Contactos Agua Celica'!H140),"",MID('Contactos Agua Celica'!H140,FIND(",",'Contactos Agua Celica'!H140,1)+1,LEN('Contactos Agua Celica'!H140)))</f>
        <v/>
      </c>
      <c r="F143" s="11" t="s">
        <v>1261</v>
      </c>
      <c r="G143" s="19" t="str">
        <f>IF(ISBLANK('Contactos Agua Celica'!F140)," ","false")</f>
        <v>false</v>
      </c>
      <c r="H143" s="19" t="str">
        <f>IF(ISBLANK('Contactos Agua Celica'!F140)," ","0")</f>
        <v>0</v>
      </c>
      <c r="I143" s="19" t="str">
        <f>IF(ISBLANK('Contactos Agua Celica'!F140)," ","0")</f>
        <v>0</v>
      </c>
    </row>
    <row r="144" spans="1:9" x14ac:dyDescent="0.3">
      <c r="A144" s="19" t="s">
        <v>758</v>
      </c>
      <c r="B144" s="20" t="str">
        <f>IF(ISBLANK('Contactos Agua Celica'!F141),"",'Contactos Agua Celica'!F141)</f>
        <v>Cuartel Rancho</v>
      </c>
      <c r="C144" s="18" t="str">
        <f>IF(ISBLANK('Contactos Agua Celica'!G141),"",'Contactos Agua Celica'!G141)</f>
        <v>+593991096260</v>
      </c>
      <c r="D144" s="19" t="str">
        <f>IF(ISBLANK('Contactos Agua Celica'!H141),"",MID('Contactos Agua Celica'!H141,1,FIND(",",'Contactos Agua Celica'!H141,1)-1))</f>
        <v>-4.100412142163173</v>
      </c>
      <c r="E144" s="19" t="str">
        <f>IF(ISBLANK('Contactos Agua Celica'!H141),"",MID('Contactos Agua Celica'!H141,FIND(",",'Contactos Agua Celica'!H141,1)+1,LEN('Contactos Agua Celica'!H141)))</f>
        <v xml:space="preserve"> -79.95596411459863</v>
      </c>
      <c r="F144" s="11" t="s">
        <v>1262</v>
      </c>
      <c r="G144" s="19" t="str">
        <f>IF(ISBLANK('Contactos Agua Celica'!F141)," ","false")</f>
        <v>false</v>
      </c>
      <c r="H144" s="19" t="str">
        <f>IF(ISBLANK('Contactos Agua Celica'!F141)," ","0")</f>
        <v>0</v>
      </c>
      <c r="I144" s="19" t="str">
        <f>IF(ISBLANK('Contactos Agua Celica'!F141)," ","0")</f>
        <v>0</v>
      </c>
    </row>
    <row r="145" spans="1:9" x14ac:dyDescent="0.3">
      <c r="A145" s="19" t="s">
        <v>759</v>
      </c>
      <c r="B145" s="20" t="str">
        <f>IF(ISBLANK('Contactos Agua Celica'!F142),"",'Contactos Agua Celica'!F142)</f>
        <v>Danna Paola Alvear</v>
      </c>
      <c r="C145" s="18" t="str">
        <f>IF(ISBLANK('Contactos Agua Celica'!G142),"",'Contactos Agua Celica'!G142)</f>
        <v>+593 98 592 0870</v>
      </c>
      <c r="D145" s="19" t="str">
        <f>IF(ISBLANK('Contactos Agua Celica'!H142),"",MID('Contactos Agua Celica'!H142,1,FIND(",",'Contactos Agua Celica'!H142,1)-1))</f>
        <v/>
      </c>
      <c r="E145" s="19" t="str">
        <f>IF(ISBLANK('Contactos Agua Celica'!H142),"",MID('Contactos Agua Celica'!H142,FIND(",",'Contactos Agua Celica'!H142,1)+1,LEN('Contactos Agua Celica'!H142)))</f>
        <v/>
      </c>
      <c r="F145" s="11" t="s">
        <v>1259</v>
      </c>
      <c r="G145" s="19" t="str">
        <f>IF(ISBLANK('Contactos Agua Celica'!F142)," ","false")</f>
        <v>false</v>
      </c>
      <c r="H145" s="19" t="str">
        <f>IF(ISBLANK('Contactos Agua Celica'!F142)," ","0")</f>
        <v>0</v>
      </c>
      <c r="I145" s="19" t="str">
        <f>IF(ISBLANK('Contactos Agua Celica'!F142)," ","0")</f>
        <v>0</v>
      </c>
    </row>
    <row r="146" spans="1:9" x14ac:dyDescent="0.3">
      <c r="A146" s="19" t="s">
        <v>760</v>
      </c>
      <c r="B146" s="20" t="str">
        <f>IF(ISBLANK('Contactos Agua Celica'!F143),"",'Contactos Agua Celica'!F143)</f>
        <v>Danny Órdoñez</v>
      </c>
      <c r="C146" s="18" t="str">
        <f>IF(ISBLANK('Contactos Agua Celica'!G143),"",'Contactos Agua Celica'!G143)</f>
        <v>099 306 7334</v>
      </c>
      <c r="D146" s="19" t="str">
        <f>IF(ISBLANK('Contactos Agua Celica'!H143),"",MID('Contactos Agua Celica'!H143,1,FIND(",",'Contactos Agua Celica'!H143,1)-1))</f>
        <v/>
      </c>
      <c r="E146" s="19" t="str">
        <f>IF(ISBLANK('Contactos Agua Celica'!H143),"",MID('Contactos Agua Celica'!H143,FIND(",",'Contactos Agua Celica'!H143,1)+1,LEN('Contactos Agua Celica'!H143)))</f>
        <v/>
      </c>
      <c r="F146" s="11" t="s">
        <v>1267</v>
      </c>
      <c r="G146" s="19" t="str">
        <f>IF(ISBLANK('Contactos Agua Celica'!F143)," ","false")</f>
        <v>false</v>
      </c>
      <c r="H146" s="19" t="str">
        <f>IF(ISBLANK('Contactos Agua Celica'!F143)," ","0")</f>
        <v>0</v>
      </c>
      <c r="I146" s="19" t="str">
        <f>IF(ISBLANK('Contactos Agua Celica'!F143)," ","0")</f>
        <v>0</v>
      </c>
    </row>
    <row r="147" spans="1:9" x14ac:dyDescent="0.3">
      <c r="A147" s="19" t="s">
        <v>761</v>
      </c>
      <c r="B147" s="20" t="str">
        <f>IF(ISBLANK('Contactos Agua Celica'!F144),"",'Contactos Agua Celica'!F144)</f>
        <v>Darwin Rey</v>
      </c>
      <c r="C147" s="18" t="str">
        <f>IF(ISBLANK('Contactos Agua Celica'!G144),"",'Contactos Agua Celica'!G144)</f>
        <v>+593 99 309 5392</v>
      </c>
      <c r="D147" s="19" t="str">
        <f>IF(ISBLANK('Contactos Agua Celica'!H144),"",MID('Contactos Agua Celica'!H144,1,FIND(",",'Contactos Agua Celica'!H144,1)-1))</f>
        <v>-4.100592318251886</v>
      </c>
      <c r="E147" s="19" t="str">
        <f>IF(ISBLANK('Contactos Agua Celica'!H144),"",MID('Contactos Agua Celica'!H144,FIND(",",'Contactos Agua Celica'!H144,1)+1,LEN('Contactos Agua Celica'!H144)))</f>
        <v xml:space="preserve"> -79.95969983111343</v>
      </c>
      <c r="F147" s="11" t="s">
        <v>1260</v>
      </c>
      <c r="G147" s="19" t="str">
        <f>IF(ISBLANK('Contactos Agua Celica'!F144)," ","false")</f>
        <v>false</v>
      </c>
      <c r="H147" s="19" t="str">
        <f>IF(ISBLANK('Contactos Agua Celica'!F144)," ","0")</f>
        <v>0</v>
      </c>
      <c r="I147" s="19" t="str">
        <f>IF(ISBLANK('Contactos Agua Celica'!F144)," ","0")</f>
        <v>0</v>
      </c>
    </row>
    <row r="148" spans="1:9" x14ac:dyDescent="0.3">
      <c r="A148" s="19" t="s">
        <v>762</v>
      </c>
      <c r="B148" s="20" t="str">
        <f>IF(ISBLANK('Contactos Agua Celica'!F145),"",'Contactos Agua Celica'!F145)</f>
        <v>Darwin Rey sexo</v>
      </c>
      <c r="C148" s="18" t="str">
        <f>IF(ISBLANK('Contactos Agua Celica'!G145),"",'Contactos Agua Celica'!G145)</f>
        <v>+593 99 784 1545</v>
      </c>
      <c r="D148" s="19" t="str">
        <f>IF(ISBLANK('Contactos Agua Celica'!H145),"",MID('Contactos Agua Celica'!H145,1,FIND(",",'Contactos Agua Celica'!H145,1)-1))</f>
        <v>-4.102713862171585</v>
      </c>
      <c r="E148" s="19" t="str">
        <f>IF(ISBLANK('Contactos Agua Celica'!H145),"",MID('Contactos Agua Celica'!H145,FIND(",",'Contactos Agua Celica'!H145,1)+1,LEN('Contactos Agua Celica'!H145)))</f>
        <v xml:space="preserve"> -79.95838823090615</v>
      </c>
      <c r="F148" s="11" t="s">
        <v>1259</v>
      </c>
      <c r="G148" s="19" t="str">
        <f>IF(ISBLANK('Contactos Agua Celica'!F145)," ","false")</f>
        <v>false</v>
      </c>
      <c r="H148" s="19" t="str">
        <f>IF(ISBLANK('Contactos Agua Celica'!F145)," ","0")</f>
        <v>0</v>
      </c>
      <c r="I148" s="19" t="str">
        <f>IF(ISBLANK('Contactos Agua Celica'!F145)," ","0")</f>
        <v>0</v>
      </c>
    </row>
    <row r="149" spans="1:9" x14ac:dyDescent="0.3">
      <c r="A149" s="19" t="s">
        <v>763</v>
      </c>
      <c r="B149" s="20" t="str">
        <f>IF(ISBLANK('Contactos Agua Celica'!F146),"",'Contactos Agua Celica'!F146)</f>
        <v>Darwin sexo</v>
      </c>
      <c r="C149" s="18" t="str">
        <f>IF(ISBLANK('Contactos Agua Celica'!G146),"",'Contactos Agua Celica'!G146)</f>
        <v>098 554 7814</v>
      </c>
      <c r="D149" s="19" t="str">
        <f>IF(ISBLANK('Contactos Agua Celica'!H146),"",MID('Contactos Agua Celica'!H146,1,FIND(",",'Contactos Agua Celica'!H146,1)-1))</f>
        <v>-4.102713862171585</v>
      </c>
      <c r="E149" s="19" t="str">
        <f>IF(ISBLANK('Contactos Agua Celica'!H146),"",MID('Contactos Agua Celica'!H146,FIND(",",'Contactos Agua Celica'!H146,1)+1,LEN('Contactos Agua Celica'!H146)))</f>
        <v xml:space="preserve"> -79.95838823090615</v>
      </c>
      <c r="F149" s="11" t="s">
        <v>1253</v>
      </c>
      <c r="G149" s="19" t="str">
        <f>IF(ISBLANK('Contactos Agua Celica'!F146)," ","false")</f>
        <v>false</v>
      </c>
      <c r="H149" s="19" t="str">
        <f>IF(ISBLANK('Contactos Agua Celica'!F146)," ","0")</f>
        <v>0</v>
      </c>
      <c r="I149" s="19" t="str">
        <f>IF(ISBLANK('Contactos Agua Celica'!F146)," ","0")</f>
        <v>0</v>
      </c>
    </row>
    <row r="150" spans="1:9" x14ac:dyDescent="0.3">
      <c r="A150" s="19" t="s">
        <v>764</v>
      </c>
      <c r="B150" s="20" t="str">
        <f>IF(ISBLANK('Contactos Agua Celica'!F147),"",'Contactos Agua Celica'!F147)</f>
        <v>Darwin Shigcha</v>
      </c>
      <c r="C150" s="18" t="str">
        <f>IF(ISBLANK('Contactos Agua Celica'!G147),"",'Contactos Agua Celica'!G147)</f>
        <v>099 375 6531</v>
      </c>
      <c r="D150" s="19" t="str">
        <f>IF(ISBLANK('Contactos Agua Celica'!H147),"",MID('Contactos Agua Celica'!H147,1,FIND(",",'Contactos Agua Celica'!H147,1)-1))</f>
        <v/>
      </c>
      <c r="E150" s="19" t="str">
        <f>IF(ISBLANK('Contactos Agua Celica'!H147),"",MID('Contactos Agua Celica'!H147,FIND(",",'Contactos Agua Celica'!H147,1)+1,LEN('Contactos Agua Celica'!H147)))</f>
        <v/>
      </c>
      <c r="F150" s="11" t="s">
        <v>1267</v>
      </c>
      <c r="G150" s="19" t="str">
        <f>IF(ISBLANK('Contactos Agua Celica'!F147)," ","false")</f>
        <v>false</v>
      </c>
      <c r="H150" s="19" t="str">
        <f>IF(ISBLANK('Contactos Agua Celica'!F147)," ","0")</f>
        <v>0</v>
      </c>
      <c r="I150" s="19" t="str">
        <f>IF(ISBLANK('Contactos Agua Celica'!F147)," ","0")</f>
        <v>0</v>
      </c>
    </row>
    <row r="151" spans="1:9" x14ac:dyDescent="0.3">
      <c r="A151" s="19" t="s">
        <v>765</v>
      </c>
      <c r="B151" s="20" t="str">
        <f>IF(ISBLANK('Contactos Agua Celica'!F148),"",'Contactos Agua Celica'!F148)</f>
        <v>David Jumbo</v>
      </c>
      <c r="C151" s="18" t="str">
        <f>IF(ISBLANK('Contactos Agua Celica'!G148),"",'Contactos Agua Celica'!G148)</f>
        <v>0997325733</v>
      </c>
      <c r="D151" s="19" t="str">
        <f>IF(ISBLANK('Contactos Agua Celica'!H148),"",MID('Contactos Agua Celica'!H148,1,FIND(",",'Contactos Agua Celica'!H148,1)-1))</f>
        <v/>
      </c>
      <c r="E151" s="19" t="str">
        <f>IF(ISBLANK('Contactos Agua Celica'!H148),"",MID('Contactos Agua Celica'!H148,FIND(",",'Contactos Agua Celica'!H148,1)+1,LEN('Contactos Agua Celica'!H148)))</f>
        <v/>
      </c>
      <c r="F151" s="11" t="s">
        <v>1267</v>
      </c>
      <c r="G151" s="19" t="str">
        <f>IF(ISBLANK('Contactos Agua Celica'!F148)," ","false")</f>
        <v>false</v>
      </c>
      <c r="H151" s="19" t="str">
        <f>IF(ISBLANK('Contactos Agua Celica'!F148)," ","0")</f>
        <v>0</v>
      </c>
      <c r="I151" s="19" t="str">
        <f>IF(ISBLANK('Contactos Agua Celica'!F148)," ","0")</f>
        <v>0</v>
      </c>
    </row>
    <row r="152" spans="1:9" x14ac:dyDescent="0.3">
      <c r="A152" s="19" t="s">
        <v>766</v>
      </c>
      <c r="B152" s="20" t="str">
        <f>IF(ISBLANK('Contactos Agua Celica'!F149),"",'Contactos Agua Celica'!F149)</f>
        <v>Diana Jumbo Algarrobillo</v>
      </c>
      <c r="C152" s="18" t="str">
        <f>IF(ISBLANK('Contactos Agua Celica'!G149),"",'Contactos Agua Celica'!G149)</f>
        <v>+593 99 099 7071</v>
      </c>
      <c r="D152" s="19" t="str">
        <f>IF(ISBLANK('Contactos Agua Celica'!H149),"",MID('Contactos Agua Celica'!H149,1,FIND(",",'Contactos Agua Celica'!H149,1)-1))</f>
        <v/>
      </c>
      <c r="E152" s="19" t="str">
        <f>IF(ISBLANK('Contactos Agua Celica'!H149),"",MID('Contactos Agua Celica'!H149,FIND(",",'Contactos Agua Celica'!H149,1)+1,LEN('Contactos Agua Celica'!H149)))</f>
        <v/>
      </c>
      <c r="F152" s="11" t="s">
        <v>1267</v>
      </c>
      <c r="G152" s="19" t="str">
        <f>IF(ISBLANK('Contactos Agua Celica'!F149)," ","false")</f>
        <v>false</v>
      </c>
      <c r="H152" s="19" t="str">
        <f>IF(ISBLANK('Contactos Agua Celica'!F149)," ","0")</f>
        <v>0</v>
      </c>
      <c r="I152" s="19" t="str">
        <f>IF(ISBLANK('Contactos Agua Celica'!F149)," ","0")</f>
        <v>0</v>
      </c>
    </row>
    <row r="153" spans="1:9" x14ac:dyDescent="0.3">
      <c r="A153" s="19" t="s">
        <v>767</v>
      </c>
      <c r="B153" s="20" t="str">
        <f>IF(ISBLANK('Contactos Agua Celica'!F150),"",'Contactos Agua Celica'!F150)</f>
        <v>Diana Torres Granda</v>
      </c>
      <c r="C153" s="18" t="str">
        <f>IF(ISBLANK('Contactos Agua Celica'!G150),"",'Contactos Agua Celica'!G150)</f>
        <v>+593 98 267 2846</v>
      </c>
      <c r="D153" s="19" t="str">
        <f>IF(ISBLANK('Contactos Agua Celica'!H150),"",MID('Contactos Agua Celica'!H150,1,FIND(",",'Contactos Agua Celica'!H150,1)-1))</f>
        <v/>
      </c>
      <c r="E153" s="19" t="str">
        <f>IF(ISBLANK('Contactos Agua Celica'!H150),"",MID('Contactos Agua Celica'!H150,FIND(",",'Contactos Agua Celica'!H150,1)+1,LEN('Contactos Agua Celica'!H150)))</f>
        <v/>
      </c>
      <c r="F153" s="11" t="s">
        <v>1267</v>
      </c>
      <c r="G153" s="19" t="str">
        <f>IF(ISBLANK('Contactos Agua Celica'!F150)," ","false")</f>
        <v>false</v>
      </c>
      <c r="H153" s="19" t="str">
        <f>IF(ISBLANK('Contactos Agua Celica'!F150)," ","0")</f>
        <v>0</v>
      </c>
      <c r="I153" s="19" t="str">
        <f>IF(ISBLANK('Contactos Agua Celica'!F150)," ","0")</f>
        <v>0</v>
      </c>
    </row>
    <row r="154" spans="1:9" x14ac:dyDescent="0.3">
      <c r="A154" s="19" t="s">
        <v>768</v>
      </c>
      <c r="B154" s="20" t="str">
        <f>IF(ISBLANK('Contactos Agua Celica'!F151),"",'Contactos Agua Celica'!F151)</f>
        <v>Dianita Ortiz</v>
      </c>
      <c r="C154" s="18" t="str">
        <f>IF(ISBLANK('Contactos Agua Celica'!G151),"",'Contactos Agua Celica'!G151)</f>
        <v>0989381603</v>
      </c>
      <c r="D154" s="19" t="str">
        <f>IF(ISBLANK('Contactos Agua Celica'!H151),"",MID('Contactos Agua Celica'!H151,1,FIND(",",'Contactos Agua Celica'!H151,1)-1))</f>
        <v/>
      </c>
      <c r="E154" s="19" t="str">
        <f>IF(ISBLANK('Contactos Agua Celica'!H151),"",MID('Contactos Agua Celica'!H151,FIND(",",'Contactos Agua Celica'!H151,1)+1,LEN('Contactos Agua Celica'!H151)))</f>
        <v/>
      </c>
      <c r="F154" s="11" t="s">
        <v>1263</v>
      </c>
      <c r="G154" s="19" t="str">
        <f>IF(ISBLANK('Contactos Agua Celica'!F151)," ","false")</f>
        <v>false</v>
      </c>
      <c r="H154" s="19" t="str">
        <f>IF(ISBLANK('Contactos Agua Celica'!F151)," ","0")</f>
        <v>0</v>
      </c>
      <c r="I154" s="19" t="str">
        <f>IF(ISBLANK('Contactos Agua Celica'!F151)," ","0")</f>
        <v>0</v>
      </c>
    </row>
    <row r="155" spans="1:9" x14ac:dyDescent="0.3">
      <c r="A155" s="19" t="s">
        <v>769</v>
      </c>
      <c r="B155" s="20" t="str">
        <f>IF(ISBLANK('Contactos Agua Celica'!F152),"",'Contactos Agua Celica'!F152)</f>
        <v>Diego Ramirez</v>
      </c>
      <c r="C155" s="18" t="str">
        <f>IF(ISBLANK('Contactos Agua Celica'!G152),"",'Contactos Agua Celica'!G152)</f>
        <v>+593 98 699 3623</v>
      </c>
      <c r="D155" s="19" t="str">
        <f>IF(ISBLANK('Contactos Agua Celica'!H152),"",MID('Contactos Agua Celica'!H152,1,FIND(",",'Contactos Agua Celica'!H152,1)-1))</f>
        <v>-4.104334393452043</v>
      </c>
      <c r="E155" s="19" t="str">
        <f>IF(ISBLANK('Contactos Agua Celica'!H152),"",MID('Contactos Agua Celica'!H152,FIND(",",'Contactos Agua Celica'!H152,1)+1,LEN('Contactos Agua Celica'!H152)))</f>
        <v xml:space="preserve"> -79.95725628901961</v>
      </c>
      <c r="F155" s="11" t="s">
        <v>1254</v>
      </c>
      <c r="G155" s="19" t="str">
        <f>IF(ISBLANK('Contactos Agua Celica'!F152)," ","false")</f>
        <v>false</v>
      </c>
      <c r="H155" s="19" t="str">
        <f>IF(ISBLANK('Contactos Agua Celica'!F152)," ","0")</f>
        <v>0</v>
      </c>
      <c r="I155" s="19" t="str">
        <f>IF(ISBLANK('Contactos Agua Celica'!F152)," ","0")</f>
        <v>0</v>
      </c>
    </row>
    <row r="156" spans="1:9" x14ac:dyDescent="0.3">
      <c r="A156" s="19" t="s">
        <v>770</v>
      </c>
      <c r="B156" s="20" t="str">
        <f>IF(ISBLANK('Contactos Agua Celica'!F153),"",'Contactos Agua Celica'!F153)</f>
        <v>Diego Ramon</v>
      </c>
      <c r="C156" s="18" t="str">
        <f>IF(ISBLANK('Contactos Agua Celica'!G153),"",'Contactos Agua Celica'!G153)</f>
        <v>+593 98 510 2328</v>
      </c>
      <c r="D156" s="19" t="str">
        <f>IF(ISBLANK('Contactos Agua Celica'!H153),"",MID('Contactos Agua Celica'!H153,1,FIND(",",'Contactos Agua Celica'!H153,1)-1))</f>
        <v>-4.098952261756817</v>
      </c>
      <c r="E156" s="19" t="str">
        <f>IF(ISBLANK('Contactos Agua Celica'!H153),"",MID('Contactos Agua Celica'!H153,FIND(",",'Contactos Agua Celica'!H153,1)+1,LEN('Contactos Agua Celica'!H153)))</f>
        <v xml:space="preserve"> -79.95970345770799</v>
      </c>
      <c r="F156" s="11" t="s">
        <v>1254</v>
      </c>
      <c r="G156" s="19" t="str">
        <f>IF(ISBLANK('Contactos Agua Celica'!F153)," ","false")</f>
        <v>false</v>
      </c>
      <c r="H156" s="19" t="str">
        <f>IF(ISBLANK('Contactos Agua Celica'!F153)," ","0")</f>
        <v>0</v>
      </c>
      <c r="I156" s="19" t="str">
        <f>IF(ISBLANK('Contactos Agua Celica'!F153)," ","0")</f>
        <v>0</v>
      </c>
    </row>
    <row r="157" spans="1:9" x14ac:dyDescent="0.3">
      <c r="A157" s="19" t="s">
        <v>771</v>
      </c>
      <c r="B157" s="20" t="str">
        <f>IF(ISBLANK('Contactos Agua Celica'!F154),"",'Contactos Agua Celica'!F154)</f>
        <v>Dispensadores</v>
      </c>
      <c r="C157" s="18" t="str">
        <f>IF(ISBLANK('Contactos Agua Celica'!G154),"",'Contactos Agua Celica'!G154)</f>
        <v>+593985861309</v>
      </c>
      <c r="D157" s="19" t="str">
        <f>IF(ISBLANK('Contactos Agua Celica'!H154),"",MID('Contactos Agua Celica'!H154,1,FIND(",",'Contactos Agua Celica'!H154,1)-1))</f>
        <v/>
      </c>
      <c r="E157" s="19" t="str">
        <f>IF(ISBLANK('Contactos Agua Celica'!H154),"",MID('Contactos Agua Celica'!H154,FIND(",",'Contactos Agua Celica'!H154,1)+1,LEN('Contactos Agua Celica'!H154)))</f>
        <v/>
      </c>
      <c r="F157" s="11" t="s">
        <v>1258</v>
      </c>
      <c r="G157" s="19" t="str">
        <f>IF(ISBLANK('Contactos Agua Celica'!F154)," ","false")</f>
        <v>false</v>
      </c>
      <c r="H157" s="19" t="str">
        <f>IF(ISBLANK('Contactos Agua Celica'!F154)," ","0")</f>
        <v>0</v>
      </c>
      <c r="I157" s="19" t="str">
        <f>IF(ISBLANK('Contactos Agua Celica'!F154)," ","0")</f>
        <v>0</v>
      </c>
    </row>
    <row r="158" spans="1:9" x14ac:dyDescent="0.3">
      <c r="A158" s="19" t="s">
        <v>772</v>
      </c>
      <c r="B158" s="20" t="str">
        <f>IF(ISBLANK('Contactos Agua Celica'!F155),"",'Contactos Agua Celica'!F155)</f>
        <v>Dolores Cabrera</v>
      </c>
      <c r="C158" s="18" t="str">
        <f>IF(ISBLANK('Contactos Agua Celica'!G155),"",'Contactos Agua Celica'!G155)</f>
        <v>+593 96 924 4056</v>
      </c>
      <c r="D158" s="19" t="str">
        <f>IF(ISBLANK('Contactos Agua Celica'!H155),"",MID('Contactos Agua Celica'!H155,1,FIND(",",'Contactos Agua Celica'!H155,1)-1))</f>
        <v/>
      </c>
      <c r="E158" s="19" t="str">
        <f>IF(ISBLANK('Contactos Agua Celica'!H155),"",MID('Contactos Agua Celica'!H155,FIND(",",'Contactos Agua Celica'!H155,1)+1,LEN('Contactos Agua Celica'!H155)))</f>
        <v/>
      </c>
      <c r="F158" s="11" t="s">
        <v>1258</v>
      </c>
      <c r="G158" s="19" t="str">
        <f>IF(ISBLANK('Contactos Agua Celica'!F155)," ","false")</f>
        <v>false</v>
      </c>
      <c r="H158" s="19" t="str">
        <f>IF(ISBLANK('Contactos Agua Celica'!F155)," ","0")</f>
        <v>0</v>
      </c>
      <c r="I158" s="19" t="str">
        <f>IF(ISBLANK('Contactos Agua Celica'!F155)," ","0")</f>
        <v>0</v>
      </c>
    </row>
    <row r="159" spans="1:9" x14ac:dyDescent="0.3">
      <c r="A159" s="19" t="s">
        <v>773</v>
      </c>
      <c r="B159" s="20" t="str">
        <f>IF(ISBLANK('Contactos Agua Celica'!F156),"",'Contactos Agua Celica'!F156)</f>
        <v>Don Bolivar</v>
      </c>
      <c r="C159" s="18" t="str">
        <f>IF(ISBLANK('Contactos Agua Celica'!G156),"",'Contactos Agua Celica'!G156)</f>
        <v>2649042</v>
      </c>
      <c r="D159" s="19" t="str">
        <f>IF(ISBLANK('Contactos Agua Celica'!H156),"",MID('Contactos Agua Celica'!H156,1,FIND(",",'Contactos Agua Celica'!H156,1)-1))</f>
        <v/>
      </c>
      <c r="E159" s="19" t="str">
        <f>IF(ISBLANK('Contactos Agua Celica'!H156),"",MID('Contactos Agua Celica'!H156,FIND(",",'Contactos Agua Celica'!H156,1)+1,LEN('Contactos Agua Celica'!H156)))</f>
        <v/>
      </c>
      <c r="F159" s="11" t="s">
        <v>1258</v>
      </c>
      <c r="G159" s="19" t="str">
        <f>IF(ISBLANK('Contactos Agua Celica'!F156)," ","false")</f>
        <v>false</v>
      </c>
      <c r="H159" s="19" t="str">
        <f>IF(ISBLANK('Contactos Agua Celica'!F156)," ","0")</f>
        <v>0</v>
      </c>
      <c r="I159" s="19" t="str">
        <f>IF(ISBLANK('Contactos Agua Celica'!F156)," ","0")</f>
        <v>0</v>
      </c>
    </row>
    <row r="160" spans="1:9" x14ac:dyDescent="0.3">
      <c r="A160" s="19" t="s">
        <v>774</v>
      </c>
      <c r="B160" s="20" t="str">
        <f>IF(ISBLANK('Contactos Agua Celica'!F157),"",'Contactos Agua Celica'!F157)</f>
        <v>Don Busta</v>
      </c>
      <c r="C160" s="18" t="str">
        <f>IF(ISBLANK('Contactos Agua Celica'!G157),"",'Contactos Agua Celica'!G157)</f>
        <v>+593 96 758 1430</v>
      </c>
      <c r="D160" s="19" t="str">
        <f>IF(ISBLANK('Contactos Agua Celica'!H157),"",MID('Contactos Agua Celica'!H157,1,FIND(",",'Contactos Agua Celica'!H157,1)-1))</f>
        <v/>
      </c>
      <c r="E160" s="19" t="str">
        <f>IF(ISBLANK('Contactos Agua Celica'!H157),"",MID('Contactos Agua Celica'!H157,FIND(",",'Contactos Agua Celica'!H157,1)+1,LEN('Contactos Agua Celica'!H157)))</f>
        <v/>
      </c>
      <c r="F160" s="11" t="s">
        <v>1260</v>
      </c>
      <c r="G160" s="19" t="str">
        <f>IF(ISBLANK('Contactos Agua Celica'!F157)," ","false")</f>
        <v>false</v>
      </c>
      <c r="H160" s="19" t="str">
        <f>IF(ISBLANK('Contactos Agua Celica'!F157)," ","0")</f>
        <v>0</v>
      </c>
      <c r="I160" s="19" t="str">
        <f>IF(ISBLANK('Contactos Agua Celica'!F157)," ","0")</f>
        <v>0</v>
      </c>
    </row>
    <row r="161" spans="1:9" x14ac:dyDescent="0.3">
      <c r="A161" s="19" t="s">
        <v>775</v>
      </c>
      <c r="B161" s="20" t="str">
        <f>IF(ISBLANK('Contactos Agua Celica'!F158),"",'Contactos Agua Celica'!F158)</f>
        <v>Don Delgado</v>
      </c>
      <c r="C161" s="18" t="str">
        <f>IF(ISBLANK('Contactos Agua Celica'!G158),"",'Contactos Agua Celica'!G158)</f>
        <v>+593 98 129 4706</v>
      </c>
      <c r="D161" s="19" t="str">
        <f>IF(ISBLANK('Contactos Agua Celica'!H158),"",MID('Contactos Agua Celica'!H158,1,FIND(",",'Contactos Agua Celica'!H158,1)-1))</f>
        <v/>
      </c>
      <c r="E161" s="19" t="str">
        <f>IF(ISBLANK('Contactos Agua Celica'!H158),"",MID('Contactos Agua Celica'!H158,FIND(",",'Contactos Agua Celica'!H158,1)+1,LEN('Contactos Agua Celica'!H158)))</f>
        <v/>
      </c>
      <c r="F161" s="11" t="s">
        <v>1255</v>
      </c>
      <c r="G161" s="19" t="str">
        <f>IF(ISBLANK('Contactos Agua Celica'!F158)," ","false")</f>
        <v>false</v>
      </c>
      <c r="H161" s="19" t="str">
        <f>IF(ISBLANK('Contactos Agua Celica'!F158)," ","0")</f>
        <v>0</v>
      </c>
      <c r="I161" s="19" t="str">
        <f>IF(ISBLANK('Contactos Agua Celica'!F158)," ","0")</f>
        <v>0</v>
      </c>
    </row>
    <row r="162" spans="1:9" x14ac:dyDescent="0.3">
      <c r="A162" s="19" t="s">
        <v>776</v>
      </c>
      <c r="B162" s="20" t="str">
        <f>IF(ISBLANK('Contactos Agua Celica'!F159),"",'Contactos Agua Celica'!F159)</f>
        <v>Don Eras</v>
      </c>
      <c r="C162" s="18" t="str">
        <f>IF(ISBLANK('Contactos Agua Celica'!G159),"",'Contactos Agua Celica'!G159)</f>
        <v>+593 93 939 3504</v>
      </c>
      <c r="D162" s="19" t="str">
        <f>IF(ISBLANK('Contactos Agua Celica'!H159),"",MID('Contactos Agua Celica'!H159,1,FIND(",",'Contactos Agua Celica'!H159,1)-1))</f>
        <v/>
      </c>
      <c r="E162" s="19" t="str">
        <f>IF(ISBLANK('Contactos Agua Celica'!H159),"",MID('Contactos Agua Celica'!H159,FIND(",",'Contactos Agua Celica'!H159,1)+1,LEN('Contactos Agua Celica'!H159)))</f>
        <v/>
      </c>
      <c r="F162" s="11" t="s">
        <v>1267</v>
      </c>
      <c r="G162" s="19" t="str">
        <f>IF(ISBLANK('Contactos Agua Celica'!F159)," ","false")</f>
        <v>false</v>
      </c>
      <c r="H162" s="19" t="str">
        <f>IF(ISBLANK('Contactos Agua Celica'!F159)," ","0")</f>
        <v>0</v>
      </c>
      <c r="I162" s="19" t="str">
        <f>IF(ISBLANK('Contactos Agua Celica'!F159)," ","0")</f>
        <v>0</v>
      </c>
    </row>
    <row r="163" spans="1:9" x14ac:dyDescent="0.3">
      <c r="A163" s="19" t="s">
        <v>777</v>
      </c>
      <c r="B163" s="20" t="str">
        <f>IF(ISBLANK('Contactos Agua Celica'!F160),"",'Contactos Agua Celica'!F160)</f>
        <v>Don Mena</v>
      </c>
      <c r="C163" s="18" t="str">
        <f>IF(ISBLANK('Contactos Agua Celica'!G160),"",'Contactos Agua Celica'!G160)</f>
        <v>099 965 7900</v>
      </c>
      <c r="D163" s="19" t="str">
        <f>IF(ISBLANK('Contactos Agua Celica'!H160),"",MID('Contactos Agua Celica'!H160,1,FIND(",",'Contactos Agua Celica'!H160,1)-1))</f>
        <v>-4.107132576181125</v>
      </c>
      <c r="E163" s="19" t="str">
        <f>IF(ISBLANK('Contactos Agua Celica'!H160),"",MID('Contactos Agua Celica'!H160,FIND(",",'Contactos Agua Celica'!H160,1)+1,LEN('Contactos Agua Celica'!H160)))</f>
        <v xml:space="preserve"> -79.9533409141849</v>
      </c>
      <c r="F163" s="11" t="s">
        <v>1268</v>
      </c>
      <c r="G163" s="19" t="str">
        <f>IF(ISBLANK('Contactos Agua Celica'!F160)," ","false")</f>
        <v>false</v>
      </c>
      <c r="H163" s="19" t="str">
        <f>IF(ISBLANK('Contactos Agua Celica'!F160)," ","0")</f>
        <v>0</v>
      </c>
      <c r="I163" s="19" t="str">
        <f>IF(ISBLANK('Contactos Agua Celica'!F160)," ","0")</f>
        <v>0</v>
      </c>
    </row>
    <row r="164" spans="1:9" x14ac:dyDescent="0.3">
      <c r="A164" s="19" t="s">
        <v>778</v>
      </c>
      <c r="B164" s="20" t="str">
        <f>IF(ISBLANK('Contactos Agua Celica'!F161),"",'Contactos Agua Celica'!F161)</f>
        <v>Don Toño</v>
      </c>
      <c r="C164" s="18" t="str">
        <f>IF(ISBLANK('Contactos Agua Celica'!G161),"",'Contactos Agua Celica'!G161)</f>
        <v>0991449292</v>
      </c>
      <c r="D164" s="19" t="str">
        <f>IF(ISBLANK('Contactos Agua Celica'!H161),"",MID('Contactos Agua Celica'!H161,1,FIND(",",'Contactos Agua Celica'!H161,1)-1))</f>
        <v>-4.104558909031072</v>
      </c>
      <c r="E164" s="19" t="str">
        <f>IF(ISBLANK('Contactos Agua Celica'!H161),"",MID('Contactos Agua Celica'!H161,FIND(",",'Contactos Agua Celica'!H161,1)+1,LEN('Contactos Agua Celica'!H161)))</f>
        <v xml:space="preserve"> -79.95556150774256</v>
      </c>
      <c r="F164" s="11" t="s">
        <v>1267</v>
      </c>
      <c r="G164" s="19" t="str">
        <f>IF(ISBLANK('Contactos Agua Celica'!F161)," ","false")</f>
        <v>false</v>
      </c>
      <c r="H164" s="19" t="str">
        <f>IF(ISBLANK('Contactos Agua Celica'!F161)," ","0")</f>
        <v>0</v>
      </c>
      <c r="I164" s="19" t="str">
        <f>IF(ISBLANK('Contactos Agua Celica'!F161)," ","0")</f>
        <v>0</v>
      </c>
    </row>
    <row r="165" spans="1:9" x14ac:dyDescent="0.3">
      <c r="A165" s="19" t="s">
        <v>779</v>
      </c>
      <c r="B165" s="20" t="str">
        <f>IF(ISBLANK('Contactos Agua Celica'!F162),"",'Contactos Agua Celica'!F162)</f>
        <v>Dra Patty</v>
      </c>
      <c r="C165" s="18" t="str">
        <f>IF(ISBLANK('Contactos Agua Celica'!G162),"",'Contactos Agua Celica'!G162)</f>
        <v>+593998627420</v>
      </c>
      <c r="D165" s="19" t="str">
        <f>IF(ISBLANK('Contactos Agua Celica'!H162),"",MID('Contactos Agua Celica'!H162,1,FIND(",",'Contactos Agua Celica'!H162,1)-1))</f>
        <v>-4.101193280337979</v>
      </c>
      <c r="E165" s="19" t="str">
        <f>IF(ISBLANK('Contactos Agua Celica'!H162),"",MID('Contactos Agua Celica'!H162,FIND(",",'Contactos Agua Celica'!H162,1)+1,LEN('Contactos Agua Celica'!H162)))</f>
        <v xml:space="preserve"> -79.95697868478736</v>
      </c>
      <c r="F165" s="11" t="s">
        <v>1267</v>
      </c>
      <c r="G165" s="19" t="str">
        <f>IF(ISBLANK('Contactos Agua Celica'!F162)," ","false")</f>
        <v>false</v>
      </c>
      <c r="H165" s="19" t="str">
        <f>IF(ISBLANK('Contactos Agua Celica'!F162)," ","0")</f>
        <v>0</v>
      </c>
      <c r="I165" s="19" t="str">
        <f>IF(ISBLANK('Contactos Agua Celica'!F162)," ","0")</f>
        <v>0</v>
      </c>
    </row>
    <row r="166" spans="1:9" x14ac:dyDescent="0.3">
      <c r="A166" s="19" t="s">
        <v>780</v>
      </c>
      <c r="B166" s="20" t="str">
        <f>IF(ISBLANK('Contactos Agua Celica'!F163),"",'Contactos Agua Celica'!F163)</f>
        <v>Dra Raquel Panchana</v>
      </c>
      <c r="C166" s="18" t="str">
        <f>IF(ISBLANK('Contactos Agua Celica'!G163),"",'Contactos Agua Celica'!G163)</f>
        <v>+593 93 925 0411</v>
      </c>
      <c r="D166" s="19" t="str">
        <f>IF(ISBLANK('Contactos Agua Celica'!H163),"",MID('Contactos Agua Celica'!H163,1,FIND(",",'Contactos Agua Celica'!H163,1)-1))</f>
        <v>-4.102766379099811</v>
      </c>
      <c r="E166" s="19" t="str">
        <f>IF(ISBLANK('Contactos Agua Celica'!H163),"",MID('Contactos Agua Celica'!H163,FIND(",",'Contactos Agua Celica'!H163,1)+1,LEN('Contactos Agua Celica'!H163)))</f>
        <v xml:space="preserve"> -79.95633763683466</v>
      </c>
      <c r="F166" s="11" t="s">
        <v>1267</v>
      </c>
      <c r="G166" s="19" t="str">
        <f>IF(ISBLANK('Contactos Agua Celica'!F163)," ","false")</f>
        <v>false</v>
      </c>
      <c r="H166" s="19" t="str">
        <f>IF(ISBLANK('Contactos Agua Celica'!F163)," ","0")</f>
        <v>0</v>
      </c>
      <c r="I166" s="19" t="str">
        <f>IF(ISBLANK('Contactos Agua Celica'!F163)," ","0")</f>
        <v>0</v>
      </c>
    </row>
    <row r="167" spans="1:9" x14ac:dyDescent="0.3">
      <c r="A167" s="19" t="s">
        <v>781</v>
      </c>
      <c r="B167" s="20" t="str">
        <f>IF(ISBLANK('Contactos Agua Celica'!F164),"",'Contactos Agua Celica'!F164)</f>
        <v>Eddy Rodriguez</v>
      </c>
      <c r="C167" s="18" t="str">
        <f>IF(ISBLANK('Contactos Agua Celica'!G164),"",'Contactos Agua Celica'!G164)</f>
        <v>+593 99 173 0939</v>
      </c>
      <c r="D167" s="19" t="str">
        <f>IF(ISBLANK('Contactos Agua Celica'!H164),"",MID('Contactos Agua Celica'!H164,1,FIND(",",'Contactos Agua Celica'!H164,1)-1))</f>
        <v>-4.101081939279308</v>
      </c>
      <c r="E167" s="19" t="str">
        <f>IF(ISBLANK('Contactos Agua Celica'!H164),"",MID('Contactos Agua Celica'!H164,FIND(",",'Contactos Agua Celica'!H164,1)+1,LEN('Contactos Agua Celica'!H164)))</f>
        <v xml:space="preserve"> -79.95787402135987</v>
      </c>
      <c r="F167" s="11" t="s">
        <v>1267</v>
      </c>
      <c r="G167" s="19" t="str">
        <f>IF(ISBLANK('Contactos Agua Celica'!F164)," ","false")</f>
        <v>false</v>
      </c>
      <c r="H167" s="19" t="str">
        <f>IF(ISBLANK('Contactos Agua Celica'!F164)," ","0")</f>
        <v>0</v>
      </c>
      <c r="I167" s="19" t="str">
        <f>IF(ISBLANK('Contactos Agua Celica'!F164)," ","0")</f>
        <v>0</v>
      </c>
    </row>
    <row r="168" spans="1:9" x14ac:dyDescent="0.3">
      <c r="A168" s="19" t="s">
        <v>782</v>
      </c>
      <c r="B168" s="20" t="str">
        <f>IF(ISBLANK('Contactos Agua Celica'!F165),"",'Contactos Agua Celica'!F165)</f>
        <v>Edgar Bustamante</v>
      </c>
      <c r="C168" s="18" t="str">
        <f>IF(ISBLANK('Contactos Agua Celica'!G165),"",'Contactos Agua Celica'!G165)</f>
        <v>099 926 3171</v>
      </c>
      <c r="D168" s="19" t="str">
        <f>IF(ISBLANK('Contactos Agua Celica'!H165),"",MID('Contactos Agua Celica'!H165,1,FIND(",",'Contactos Agua Celica'!H165,1)-1))</f>
        <v/>
      </c>
      <c r="E168" s="19" t="str">
        <f>IF(ISBLANK('Contactos Agua Celica'!H165),"",MID('Contactos Agua Celica'!H165,FIND(",",'Contactos Agua Celica'!H165,1)+1,LEN('Contactos Agua Celica'!H165)))</f>
        <v/>
      </c>
      <c r="F168" s="11" t="s">
        <v>1262</v>
      </c>
      <c r="G168" s="19" t="str">
        <f>IF(ISBLANK('Contactos Agua Celica'!F165)," ","false")</f>
        <v>false</v>
      </c>
      <c r="H168" s="19" t="str">
        <f>IF(ISBLANK('Contactos Agua Celica'!F165)," ","0")</f>
        <v>0</v>
      </c>
      <c r="I168" s="19" t="str">
        <f>IF(ISBLANK('Contactos Agua Celica'!F165)," ","0")</f>
        <v>0</v>
      </c>
    </row>
    <row r="169" spans="1:9" x14ac:dyDescent="0.3">
      <c r="A169" s="19" t="s">
        <v>783</v>
      </c>
      <c r="B169" s="20" t="str">
        <f>IF(ISBLANK('Contactos Agua Celica'!F166),"",'Contactos Agua Celica'!F166)</f>
        <v>Edgar Campoverde</v>
      </c>
      <c r="C169" s="18" t="str">
        <f>IF(ISBLANK('Contactos Agua Celica'!G166),"",'Contactos Agua Celica'!G166)</f>
        <v>098 582 8963</v>
      </c>
      <c r="D169" s="19" t="str">
        <f>IF(ISBLANK('Contactos Agua Celica'!H166),"",MID('Contactos Agua Celica'!H166,1,FIND(",",'Contactos Agua Celica'!H166,1)-1))</f>
        <v/>
      </c>
      <c r="E169" s="19" t="str">
        <f>IF(ISBLANK('Contactos Agua Celica'!H166),"",MID('Contactos Agua Celica'!H166,FIND(",",'Contactos Agua Celica'!H166,1)+1,LEN('Contactos Agua Celica'!H166)))</f>
        <v/>
      </c>
      <c r="F169" s="11" t="s">
        <v>1259</v>
      </c>
      <c r="G169" s="19" t="str">
        <f>IF(ISBLANK('Contactos Agua Celica'!F166)," ","false")</f>
        <v>false</v>
      </c>
      <c r="H169" s="19" t="str">
        <f>IF(ISBLANK('Contactos Agua Celica'!F166)," ","0")</f>
        <v>0</v>
      </c>
      <c r="I169" s="19" t="str">
        <f>IF(ISBLANK('Contactos Agua Celica'!F166)," ","0")</f>
        <v>0</v>
      </c>
    </row>
    <row r="170" spans="1:9" x14ac:dyDescent="0.3">
      <c r="A170" s="19" t="s">
        <v>784</v>
      </c>
      <c r="B170" s="20" t="str">
        <f>IF(ISBLANK('Contactos Agua Celica'!F167),"",'Contactos Agua Celica'!F167)</f>
        <v>Edgar Yaguachi</v>
      </c>
      <c r="C170" s="18" t="str">
        <f>IF(ISBLANK('Contactos Agua Celica'!G167),"",'Contactos Agua Celica'!G167)</f>
        <v>+593 96 323 7193</v>
      </c>
      <c r="D170" s="19" t="str">
        <f>IF(ISBLANK('Contactos Agua Celica'!H167),"",MID('Contactos Agua Celica'!H167,1,FIND(",",'Contactos Agua Celica'!H167,1)-1))</f>
        <v>-4.106145673510046</v>
      </c>
      <c r="E170" s="19" t="str">
        <f>IF(ISBLANK('Contactos Agua Celica'!H167),"",MID('Contactos Agua Celica'!H167,FIND(",",'Contactos Agua Celica'!H167,1)+1,LEN('Contactos Agua Celica'!H167)))</f>
        <v xml:space="preserve"> -79.95463305471233</v>
      </c>
      <c r="F170" s="11" t="s">
        <v>1267</v>
      </c>
      <c r="G170" s="19" t="str">
        <f>IF(ISBLANK('Contactos Agua Celica'!F167)," ","false")</f>
        <v>false</v>
      </c>
      <c r="H170" s="19" t="str">
        <f>IF(ISBLANK('Contactos Agua Celica'!F167)," ","0")</f>
        <v>0</v>
      </c>
      <c r="I170" s="19" t="str">
        <f>IF(ISBLANK('Contactos Agua Celica'!F167)," ","0")</f>
        <v>0</v>
      </c>
    </row>
    <row r="171" spans="1:9" x14ac:dyDescent="0.3">
      <c r="A171" s="19" t="s">
        <v>785</v>
      </c>
      <c r="B171" s="20" t="str">
        <f>IF(ISBLANK('Contactos Agua Celica'!F168),"",'Contactos Agua Celica'!F168)</f>
        <v>Eduardo Malla</v>
      </c>
      <c r="C171" s="18" t="str">
        <f>IF(ISBLANK('Contactos Agua Celica'!G168),"",'Contactos Agua Celica'!G168)</f>
        <v>099 427 9650</v>
      </c>
      <c r="D171" s="19" t="str">
        <f>IF(ISBLANK('Contactos Agua Celica'!H168),"",MID('Contactos Agua Celica'!H168,1,FIND(",",'Contactos Agua Celica'!H168,1)-1))</f>
        <v>-4.1022676153579765</v>
      </c>
      <c r="E171" s="19" t="str">
        <f>IF(ISBLANK('Contactos Agua Celica'!H168),"",MID('Contactos Agua Celica'!H168,FIND(",",'Contactos Agua Celica'!H168,1)+1,LEN('Contactos Agua Celica'!H168)))</f>
        <v xml:space="preserve"> -79.95706716405859</v>
      </c>
      <c r="F171" s="11" t="s">
        <v>1267</v>
      </c>
      <c r="G171" s="19" t="str">
        <f>IF(ISBLANK('Contactos Agua Celica'!F168)," ","false")</f>
        <v>false</v>
      </c>
      <c r="H171" s="19" t="str">
        <f>IF(ISBLANK('Contactos Agua Celica'!F168)," ","0")</f>
        <v>0</v>
      </c>
      <c r="I171" s="19" t="str">
        <f>IF(ISBLANK('Contactos Agua Celica'!F168)," ","0")</f>
        <v>0</v>
      </c>
    </row>
    <row r="172" spans="1:9" x14ac:dyDescent="0.3">
      <c r="A172" s="19" t="s">
        <v>786</v>
      </c>
      <c r="B172" s="20" t="str">
        <f>IF(ISBLANK('Contactos Agua Celica'!F169),"",'Contactos Agua Celica'!F169)</f>
        <v>Ela Bustamante</v>
      </c>
      <c r="C172" s="18" t="str">
        <f>IF(ISBLANK('Contactos Agua Celica'!G169),"",'Contactos Agua Celica'!G169)</f>
        <v>+593 96 830 9603</v>
      </c>
      <c r="D172" s="19" t="str">
        <f>IF(ISBLANK('Contactos Agua Celica'!H169),"",MID('Contactos Agua Celica'!H169,1,FIND(",",'Contactos Agua Celica'!H169,1)-1))</f>
        <v>-4.112621580186613</v>
      </c>
      <c r="E172" s="19" t="str">
        <f>IF(ISBLANK('Contactos Agua Celica'!H169),"",MID('Contactos Agua Celica'!H169,FIND(",",'Contactos Agua Celica'!H169,1)+1,LEN('Contactos Agua Celica'!H169)))</f>
        <v xml:space="preserve"> -79.953951587958</v>
      </c>
      <c r="F172" s="11" t="s">
        <v>1267</v>
      </c>
      <c r="G172" s="19" t="str">
        <f>IF(ISBLANK('Contactos Agua Celica'!F169)," ","false")</f>
        <v>false</v>
      </c>
      <c r="H172" s="19" t="str">
        <f>IF(ISBLANK('Contactos Agua Celica'!F169)," ","0")</f>
        <v>0</v>
      </c>
      <c r="I172" s="19" t="str">
        <f>IF(ISBLANK('Contactos Agua Celica'!F169)," ","0")</f>
        <v>0</v>
      </c>
    </row>
    <row r="173" spans="1:9" x14ac:dyDescent="0.3">
      <c r="A173" s="19" t="s">
        <v>787</v>
      </c>
      <c r="B173" s="20" t="str">
        <f>IF(ISBLANK('Contactos Agua Celica'!F170),"",'Contactos Agua Celica'!F170)</f>
        <v>Elizabeth Jimbo</v>
      </c>
      <c r="C173" s="18" t="str">
        <f>IF(ISBLANK('Contactos Agua Celica'!G170),"",'Contactos Agua Celica'!G170)</f>
        <v>099 245 4466</v>
      </c>
      <c r="D173" s="19" t="str">
        <f>IF(ISBLANK('Contactos Agua Celica'!H170),"",MID('Contactos Agua Celica'!H170,1,FIND(",",'Contactos Agua Celica'!H170,1)-1))</f>
        <v/>
      </c>
      <c r="E173" s="19" t="str">
        <f>IF(ISBLANK('Contactos Agua Celica'!H170),"",MID('Contactos Agua Celica'!H170,FIND(",",'Contactos Agua Celica'!H170,1)+1,LEN('Contactos Agua Celica'!H170)))</f>
        <v/>
      </c>
      <c r="F173" s="11" t="s">
        <v>1254</v>
      </c>
      <c r="G173" s="19" t="str">
        <f>IF(ISBLANK('Contactos Agua Celica'!F170)," ","false")</f>
        <v>false</v>
      </c>
      <c r="H173" s="19" t="str">
        <f>IF(ISBLANK('Contactos Agua Celica'!F170)," ","0")</f>
        <v>0</v>
      </c>
      <c r="I173" s="19" t="str">
        <f>IF(ISBLANK('Contactos Agua Celica'!F170)," ","0")</f>
        <v>0</v>
      </c>
    </row>
    <row r="174" spans="1:9" x14ac:dyDescent="0.3">
      <c r="A174" s="19" t="s">
        <v>788</v>
      </c>
      <c r="B174" s="20" t="str">
        <f>IF(ISBLANK('Contactos Agua Celica'!F171),"",'Contactos Agua Celica'!F171)</f>
        <v>Elvia Sanmartin</v>
      </c>
      <c r="C174" s="18" t="str">
        <f>IF(ISBLANK('Contactos Agua Celica'!G171),"",'Contactos Agua Celica'!G171)</f>
        <v>+593 99 948 7330</v>
      </c>
      <c r="D174" s="19" t="str">
        <f>IF(ISBLANK('Contactos Agua Celica'!H171),"",MID('Contactos Agua Celica'!H171,1,FIND(",",'Contactos Agua Celica'!H171,1)-1))</f>
        <v/>
      </c>
      <c r="E174" s="19" t="str">
        <f>IF(ISBLANK('Contactos Agua Celica'!H171),"",MID('Contactos Agua Celica'!H171,FIND(",",'Contactos Agua Celica'!H171,1)+1,LEN('Contactos Agua Celica'!H171)))</f>
        <v/>
      </c>
      <c r="F174" s="11" t="s">
        <v>1260</v>
      </c>
      <c r="G174" s="19" t="str">
        <f>IF(ISBLANK('Contactos Agua Celica'!F171)," ","false")</f>
        <v>false</v>
      </c>
      <c r="H174" s="19" t="str">
        <f>IF(ISBLANK('Contactos Agua Celica'!F171)," ","0")</f>
        <v>0</v>
      </c>
      <c r="I174" s="19" t="str">
        <f>IF(ISBLANK('Contactos Agua Celica'!F171)," ","0")</f>
        <v>0</v>
      </c>
    </row>
    <row r="175" spans="1:9" x14ac:dyDescent="0.3">
      <c r="A175" s="19" t="s">
        <v>789</v>
      </c>
      <c r="B175" s="20" t="str">
        <f>IF(ISBLANK('Contactos Agua Celica'!F172),"",'Contactos Agua Celica'!F172)</f>
        <v>Emil</v>
      </c>
      <c r="C175" s="18" t="str">
        <f>IF(ISBLANK('Contactos Agua Celica'!G172),"",'Contactos Agua Celica'!G172)</f>
        <v>098 711 3547</v>
      </c>
      <c r="D175" s="19" t="str">
        <f>IF(ISBLANK('Contactos Agua Celica'!H172),"",MID('Contactos Agua Celica'!H172,1,FIND(",",'Contactos Agua Celica'!H172,1)-1))</f>
        <v/>
      </c>
      <c r="E175" s="19" t="str">
        <f>IF(ISBLANK('Contactos Agua Celica'!H172),"",MID('Contactos Agua Celica'!H172,FIND(",",'Contactos Agua Celica'!H172,1)+1,LEN('Contactos Agua Celica'!H172)))</f>
        <v/>
      </c>
      <c r="F175" s="11" t="s">
        <v>1267</v>
      </c>
      <c r="G175" s="19" t="str">
        <f>IF(ISBLANK('Contactos Agua Celica'!F172)," ","false")</f>
        <v>false</v>
      </c>
      <c r="H175" s="19" t="str">
        <f>IF(ISBLANK('Contactos Agua Celica'!F172)," ","0")</f>
        <v>0</v>
      </c>
      <c r="I175" s="19" t="str">
        <f>IF(ISBLANK('Contactos Agua Celica'!F172)," ","0")</f>
        <v>0</v>
      </c>
    </row>
    <row r="176" spans="1:9" x14ac:dyDescent="0.3">
      <c r="A176" s="19" t="s">
        <v>790</v>
      </c>
      <c r="B176" s="20" t="str">
        <f>IF(ISBLANK('Contactos Agua Celica'!F173),"",'Contactos Agua Celica'!F173)</f>
        <v>Empaqplast 2</v>
      </c>
      <c r="C176" s="18" t="str">
        <f>IF(ISBLANK('Contactos Agua Celica'!G173),"",'Contactos Agua Celica'!G173)</f>
        <v>098 351 0374</v>
      </c>
      <c r="D176" s="19" t="str">
        <f>IF(ISBLANK('Contactos Agua Celica'!H173),"",MID('Contactos Agua Celica'!H173,1,FIND(",",'Contactos Agua Celica'!H173,1)-1))</f>
        <v/>
      </c>
      <c r="E176" s="19" t="str">
        <f>IF(ISBLANK('Contactos Agua Celica'!H173),"",MID('Contactos Agua Celica'!H173,FIND(",",'Contactos Agua Celica'!H173,1)+1,LEN('Contactos Agua Celica'!H173)))</f>
        <v/>
      </c>
      <c r="F176" s="11" t="s">
        <v>1257</v>
      </c>
      <c r="G176" s="19" t="str">
        <f>IF(ISBLANK('Contactos Agua Celica'!F173)," ","false")</f>
        <v>false</v>
      </c>
      <c r="H176" s="19" t="str">
        <f>IF(ISBLANK('Contactos Agua Celica'!F173)," ","0")</f>
        <v>0</v>
      </c>
      <c r="I176" s="19" t="str">
        <f>IF(ISBLANK('Contactos Agua Celica'!F173)," ","0")</f>
        <v>0</v>
      </c>
    </row>
    <row r="177" spans="1:9" x14ac:dyDescent="0.3">
      <c r="A177" s="19" t="s">
        <v>791</v>
      </c>
      <c r="B177" s="20" t="str">
        <f>IF(ISBLANK('Contactos Agua Celica'!F174),"",'Contactos Agua Celica'!F174)</f>
        <v>Enma Guaicha</v>
      </c>
      <c r="C177" s="18" t="str">
        <f>IF(ISBLANK('Contactos Agua Celica'!G174),"",'Contactos Agua Celica'!G174)</f>
        <v>098 575 3757</v>
      </c>
      <c r="D177" s="19" t="str">
        <f>IF(ISBLANK('Contactos Agua Celica'!H174),"",MID('Contactos Agua Celica'!H174,1,FIND(",",'Contactos Agua Celica'!H174,1)-1))</f>
        <v/>
      </c>
      <c r="E177" s="19" t="str">
        <f>IF(ISBLANK('Contactos Agua Celica'!H174),"",MID('Contactos Agua Celica'!H174,FIND(",",'Contactos Agua Celica'!H174,1)+1,LEN('Contactos Agua Celica'!H174)))</f>
        <v/>
      </c>
      <c r="F177" s="11" t="s">
        <v>1257</v>
      </c>
      <c r="G177" s="19" t="str">
        <f>IF(ISBLANK('Contactos Agua Celica'!F174)," ","false")</f>
        <v>false</v>
      </c>
      <c r="H177" s="19" t="str">
        <f>IF(ISBLANK('Contactos Agua Celica'!F174)," ","0")</f>
        <v>0</v>
      </c>
      <c r="I177" s="19" t="str">
        <f>IF(ISBLANK('Contactos Agua Celica'!F174)," ","0")</f>
        <v>0</v>
      </c>
    </row>
    <row r="178" spans="1:9" x14ac:dyDescent="0.3">
      <c r="A178" s="19" t="s">
        <v>792</v>
      </c>
      <c r="B178" s="20" t="str">
        <f>IF(ISBLANK('Contactos Agua Celica'!F175),"",'Contactos Agua Celica'!F175)</f>
        <v>Eras Pindal Distr</v>
      </c>
      <c r="C178" s="18" t="str">
        <f>IF(ISBLANK('Contactos Agua Celica'!G175),"",'Contactos Agua Celica'!G175)</f>
        <v/>
      </c>
      <c r="D178" s="19" t="str">
        <f>IF(ISBLANK('Contactos Agua Celica'!H175),"",MID('Contactos Agua Celica'!H175,1,FIND(",",'Contactos Agua Celica'!H175,1)-1))</f>
        <v/>
      </c>
      <c r="E178" s="19" t="str">
        <f>IF(ISBLANK('Contactos Agua Celica'!H175),"",MID('Contactos Agua Celica'!H175,FIND(",",'Contactos Agua Celica'!H175,1)+1,LEN('Contactos Agua Celica'!H175)))</f>
        <v/>
      </c>
      <c r="F178" s="11" t="s">
        <v>1267</v>
      </c>
      <c r="G178" s="19" t="str">
        <f>IF(ISBLANK('Contactos Agua Celica'!F175)," ","false")</f>
        <v>false</v>
      </c>
      <c r="H178" s="19" t="str">
        <f>IF(ISBLANK('Contactos Agua Celica'!F175)," ","0")</f>
        <v>0</v>
      </c>
      <c r="I178" s="19" t="str">
        <f>IF(ISBLANK('Contactos Agua Celica'!F175)," ","0")</f>
        <v>0</v>
      </c>
    </row>
    <row r="179" spans="1:9" x14ac:dyDescent="0.3">
      <c r="A179" s="19" t="s">
        <v>793</v>
      </c>
      <c r="B179" s="20" t="str">
        <f>IF(ISBLANK('Contactos Agua Celica'!F176),"",'Contactos Agua Celica'!F176)</f>
        <v>Estalin Pindal</v>
      </c>
      <c r="C179" s="18" t="str">
        <f>IF(ISBLANK('Contactos Agua Celica'!G176),"",'Contactos Agua Celica'!G176)</f>
        <v>+593 99 420 1398</v>
      </c>
      <c r="D179" s="19" t="str">
        <f>IF(ISBLANK('Contactos Agua Celica'!H176),"",MID('Contactos Agua Celica'!H176,1,FIND(",",'Contactos Agua Celica'!H176,1)-1))</f>
        <v/>
      </c>
      <c r="E179" s="19" t="str">
        <f>IF(ISBLANK('Contactos Agua Celica'!H176),"",MID('Contactos Agua Celica'!H176,FIND(",",'Contactos Agua Celica'!H176,1)+1,LEN('Contactos Agua Celica'!H176)))</f>
        <v/>
      </c>
      <c r="F179" s="11" t="s">
        <v>1257</v>
      </c>
      <c r="G179" s="19" t="str">
        <f>IF(ISBLANK('Contactos Agua Celica'!F176)," ","false")</f>
        <v>false</v>
      </c>
      <c r="H179" s="19" t="str">
        <f>IF(ISBLANK('Contactos Agua Celica'!F176)," ","0")</f>
        <v>0</v>
      </c>
      <c r="I179" s="19" t="str">
        <f>IF(ISBLANK('Contactos Agua Celica'!F176)," ","0")</f>
        <v>0</v>
      </c>
    </row>
    <row r="180" spans="1:9" x14ac:dyDescent="0.3">
      <c r="A180" s="19" t="s">
        <v>794</v>
      </c>
      <c r="B180" s="20" t="str">
        <f>IF(ISBLANK('Contactos Agua Celica'!F177),"",'Contactos Agua Celica'!F177)</f>
        <v>Estefy Bust.</v>
      </c>
      <c r="C180" s="18" t="str">
        <f>IF(ISBLANK('Contactos Agua Celica'!G177),"",'Contactos Agua Celica'!G177)</f>
        <v>+593 98 092 7918</v>
      </c>
      <c r="D180" s="19" t="str">
        <f>IF(ISBLANK('Contactos Agua Celica'!H177),"",MID('Contactos Agua Celica'!H177,1,FIND(",",'Contactos Agua Celica'!H177,1)-1))</f>
        <v>-4.104217861191152</v>
      </c>
      <c r="E180" s="19" t="str">
        <f>IF(ISBLANK('Contactos Agua Celica'!H177),"",MID('Contactos Agua Celica'!H177,FIND(",",'Contactos Agua Celica'!H177,1)+1,LEN('Contactos Agua Celica'!H177)))</f>
        <v xml:space="preserve"> -79.95469130084604</v>
      </c>
      <c r="F180" s="11" t="s">
        <v>1267</v>
      </c>
      <c r="G180" s="19" t="str">
        <f>IF(ISBLANK('Contactos Agua Celica'!F177)," ","false")</f>
        <v>false</v>
      </c>
      <c r="H180" s="19" t="str">
        <f>IF(ISBLANK('Contactos Agua Celica'!F177)," ","0")</f>
        <v>0</v>
      </c>
      <c r="I180" s="19" t="str">
        <f>IF(ISBLANK('Contactos Agua Celica'!F177)," ","0")</f>
        <v>0</v>
      </c>
    </row>
    <row r="181" spans="1:9" x14ac:dyDescent="0.3">
      <c r="A181" s="19" t="s">
        <v>795</v>
      </c>
      <c r="B181" s="20" t="str">
        <f>IF(ISBLANK('Contactos Agua Celica'!F178),"",'Contactos Agua Celica'!F178)</f>
        <v>Fabián Torres</v>
      </c>
      <c r="C181" s="18" t="str">
        <f>IF(ISBLANK('Contactos Agua Celica'!G178),"",'Contactos Agua Celica'!G178)</f>
        <v>+593 99 808 9600</v>
      </c>
      <c r="D181" s="19" t="str">
        <f>IF(ISBLANK('Contactos Agua Celica'!H178),"",MID('Contactos Agua Celica'!H178,1,FIND(",",'Contactos Agua Celica'!H178,1)-1))</f>
        <v>-4.104778290480249</v>
      </c>
      <c r="E181" s="19" t="str">
        <f>IF(ISBLANK('Contactos Agua Celica'!H178),"",MID('Contactos Agua Celica'!H178,FIND(",",'Contactos Agua Celica'!H178,1)+1,LEN('Contactos Agua Celica'!H178)))</f>
        <v xml:space="preserve"> -79.95501461258333</v>
      </c>
      <c r="F181" s="11" t="s">
        <v>1256</v>
      </c>
      <c r="G181" s="19" t="str">
        <f>IF(ISBLANK('Contactos Agua Celica'!F178)," ","false")</f>
        <v>false</v>
      </c>
      <c r="H181" s="19" t="str">
        <f>IF(ISBLANK('Contactos Agua Celica'!F178)," ","0")</f>
        <v>0</v>
      </c>
      <c r="I181" s="19" t="str">
        <f>IF(ISBLANK('Contactos Agua Celica'!F178)," ","0")</f>
        <v>0</v>
      </c>
    </row>
    <row r="182" spans="1:9" x14ac:dyDescent="0.3">
      <c r="A182" s="19" t="s">
        <v>796</v>
      </c>
      <c r="B182" s="20" t="str">
        <f>IF(ISBLANK('Contactos Agua Celica'!F179),"",'Contactos Agua Celica'!F179)</f>
        <v>Familia Cardenas</v>
      </c>
      <c r="C182" s="18" t="str">
        <f>IF(ISBLANK('Contactos Agua Celica'!G179),"",'Contactos Agua Celica'!G179)</f>
        <v>+593 96 770 6234</v>
      </c>
      <c r="D182" s="19" t="str">
        <f>IF(ISBLANK('Contactos Agua Celica'!H179),"",MID('Contactos Agua Celica'!H179,1,FIND(",",'Contactos Agua Celica'!H179,1)-1))</f>
        <v>-4.104226987852402</v>
      </c>
      <c r="E182" s="19" t="str">
        <f>IF(ISBLANK('Contactos Agua Celica'!H179),"",MID('Contactos Agua Celica'!H179,FIND(",",'Contactos Agua Celica'!H179,1)+1,LEN('Contactos Agua Celica'!H179)))</f>
        <v xml:space="preserve"> -79.95751294268854</v>
      </c>
      <c r="F182" s="11" t="s">
        <v>1256</v>
      </c>
      <c r="G182" s="19" t="str">
        <f>IF(ISBLANK('Contactos Agua Celica'!F179)," ","false")</f>
        <v>false</v>
      </c>
      <c r="H182" s="19" t="str">
        <f>IF(ISBLANK('Contactos Agua Celica'!F179)," ","0")</f>
        <v>0</v>
      </c>
      <c r="I182" s="19" t="str">
        <f>IF(ISBLANK('Contactos Agua Celica'!F179)," ","0")</f>
        <v>0</v>
      </c>
    </row>
    <row r="183" spans="1:9" x14ac:dyDescent="0.3">
      <c r="A183" s="19" t="s">
        <v>797</v>
      </c>
      <c r="B183" s="20" t="str">
        <f>IF(ISBLANK('Contactos Agua Celica'!F180),"",'Contactos Agua Celica'!F180)</f>
        <v>Familia Erraez Vélez</v>
      </c>
      <c r="C183" s="18" t="str">
        <f>IF(ISBLANK('Contactos Agua Celica'!G180),"",'Contactos Agua Celica'!G180)</f>
        <v>+593 99 012 4242</v>
      </c>
      <c r="D183" s="19" t="str">
        <f>IF(ISBLANK('Contactos Agua Celica'!H180),"",MID('Contactos Agua Celica'!H180,1,FIND(",",'Contactos Agua Celica'!H180,1)-1))</f>
        <v>-4.104335320936672</v>
      </c>
      <c r="E183" s="19" t="str">
        <f>IF(ISBLANK('Contactos Agua Celica'!H180),"",MID('Contactos Agua Celica'!H180,FIND(",",'Contactos Agua Celica'!H180,1)+1,LEN('Contactos Agua Celica'!H180)))</f>
        <v xml:space="preserve"> -79.95754009559501</v>
      </c>
      <c r="F183" s="11" t="s">
        <v>1256</v>
      </c>
      <c r="G183" s="19" t="str">
        <f>IF(ISBLANK('Contactos Agua Celica'!F180)," ","false")</f>
        <v>false</v>
      </c>
      <c r="H183" s="19" t="str">
        <f>IF(ISBLANK('Contactos Agua Celica'!F180)," ","0")</f>
        <v>0</v>
      </c>
      <c r="I183" s="19" t="str">
        <f>IF(ISBLANK('Contactos Agua Celica'!F180)," ","0")</f>
        <v>0</v>
      </c>
    </row>
    <row r="184" spans="1:9" x14ac:dyDescent="0.3">
      <c r="A184" s="19" t="s">
        <v>798</v>
      </c>
      <c r="B184" s="20" t="str">
        <f>IF(ISBLANK('Contactos Agua Celica'!F181),"",'Contactos Agua Celica'!F181)</f>
        <v>Familia Mora Mendoza</v>
      </c>
      <c r="C184" s="18" t="str">
        <f>IF(ISBLANK('Contactos Agua Celica'!G181),"",'Contactos Agua Celica'!G181)</f>
        <v>+593 99 777 7790</v>
      </c>
      <c r="D184" s="19" t="str">
        <f>IF(ISBLANK('Contactos Agua Celica'!H181),"",MID('Contactos Agua Celica'!H181,1,FIND(",",'Contactos Agua Celica'!H181,1)-1))</f>
        <v/>
      </c>
      <c r="E184" s="19" t="str">
        <f>IF(ISBLANK('Contactos Agua Celica'!H181),"",MID('Contactos Agua Celica'!H181,FIND(",",'Contactos Agua Celica'!H181,1)+1,LEN('Contactos Agua Celica'!H181)))</f>
        <v/>
      </c>
      <c r="F184" s="11" t="s">
        <v>1255</v>
      </c>
      <c r="G184" s="19" t="str">
        <f>IF(ISBLANK('Contactos Agua Celica'!F181)," ","false")</f>
        <v>false</v>
      </c>
      <c r="H184" s="19" t="str">
        <f>IF(ISBLANK('Contactos Agua Celica'!F181)," ","0")</f>
        <v>0</v>
      </c>
      <c r="I184" s="19" t="str">
        <f>IF(ISBLANK('Contactos Agua Celica'!F181)," ","0")</f>
        <v>0</v>
      </c>
    </row>
    <row r="185" spans="1:9" x14ac:dyDescent="0.3">
      <c r="A185" s="19" t="s">
        <v>799</v>
      </c>
      <c r="B185" s="20" t="str">
        <f>IF(ISBLANK('Contactos Agua Celica'!F182),"",'Contactos Agua Celica'!F182)</f>
        <v>Fernando Bustamante</v>
      </c>
      <c r="C185" s="18" t="str">
        <f>IF(ISBLANK('Contactos Agua Celica'!G182),"",'Contactos Agua Celica'!G182)</f>
        <v>+593 96 769 9873</v>
      </c>
      <c r="D185" s="19" t="str">
        <f>IF(ISBLANK('Contactos Agua Celica'!H182),"",MID('Contactos Agua Celica'!H182,1,FIND(",",'Contactos Agua Celica'!H182,1)-1))</f>
        <v>-4.105349306693438</v>
      </c>
      <c r="E185" s="19" t="str">
        <f>IF(ISBLANK('Contactos Agua Celica'!H182),"",MID('Contactos Agua Celica'!H182,FIND(",",'Contactos Agua Celica'!H182,1)+1,LEN('Contactos Agua Celica'!H182)))</f>
        <v xml:space="preserve"> -79.9547758633161</v>
      </c>
      <c r="F185" s="11" t="s">
        <v>1267</v>
      </c>
      <c r="G185" s="19" t="str">
        <f>IF(ISBLANK('Contactos Agua Celica'!F182)," ","false")</f>
        <v>false</v>
      </c>
      <c r="H185" s="19" t="str">
        <f>IF(ISBLANK('Contactos Agua Celica'!F182)," ","0")</f>
        <v>0</v>
      </c>
      <c r="I185" s="19" t="str">
        <f>IF(ISBLANK('Contactos Agua Celica'!F182)," ","0")</f>
        <v>0</v>
      </c>
    </row>
    <row r="186" spans="1:9" x14ac:dyDescent="0.3">
      <c r="A186" s="19" t="s">
        <v>800</v>
      </c>
      <c r="B186" s="20" t="str">
        <f>IF(ISBLANK('Contactos Agua Celica'!F183),"",'Contactos Agua Celica'!F183)</f>
        <v>Fernando Gualan</v>
      </c>
      <c r="C186" s="18" t="str">
        <f>IF(ISBLANK('Contactos Agua Celica'!G183),"",'Contactos Agua Celica'!G183)</f>
        <v>0993614977</v>
      </c>
      <c r="D186" s="19" t="str">
        <f>IF(ISBLANK('Contactos Agua Celica'!H183),"",MID('Contactos Agua Celica'!H183,1,FIND(",",'Contactos Agua Celica'!H183,1)-1))</f>
        <v>-4.09837085265851</v>
      </c>
      <c r="E186" s="19" t="str">
        <f>IF(ISBLANK('Contactos Agua Celica'!H183),"",MID('Contactos Agua Celica'!H183,FIND(",",'Contactos Agua Celica'!H183,1)+1,LEN('Contactos Agua Celica'!H183)))</f>
        <v xml:space="preserve"> -79.95779338112183</v>
      </c>
      <c r="F186" s="11" t="s">
        <v>1258</v>
      </c>
      <c r="G186" s="19" t="str">
        <f>IF(ISBLANK('Contactos Agua Celica'!F183)," ","false")</f>
        <v>false</v>
      </c>
      <c r="H186" s="19" t="str">
        <f>IF(ISBLANK('Contactos Agua Celica'!F183)," ","0")</f>
        <v>0</v>
      </c>
      <c r="I186" s="19" t="str">
        <f>IF(ISBLANK('Contactos Agua Celica'!F183)," ","0")</f>
        <v>0</v>
      </c>
    </row>
    <row r="187" spans="1:9" x14ac:dyDescent="0.3">
      <c r="A187" s="19" t="s">
        <v>801</v>
      </c>
      <c r="B187" s="20" t="str">
        <f>IF(ISBLANK('Contactos Agua Celica'!F184),"",'Contactos Agua Celica'!F184)</f>
        <v>Fernando Gualan 2</v>
      </c>
      <c r="C187" s="18" t="str">
        <f>IF(ISBLANK('Contactos Agua Celica'!G184),"",'Contactos Agua Celica'!G184)</f>
        <v>+593 99 067 1511</v>
      </c>
      <c r="D187" s="19" t="str">
        <f>IF(ISBLANK('Contactos Agua Celica'!H184),"",MID('Contactos Agua Celica'!H184,1,FIND(",",'Contactos Agua Celica'!H184,1)-1))</f>
        <v>-4.09837085265851</v>
      </c>
      <c r="E187" s="19" t="str">
        <f>IF(ISBLANK('Contactos Agua Celica'!H184),"",MID('Contactos Agua Celica'!H184,FIND(",",'Contactos Agua Celica'!H184,1)+1,LEN('Contactos Agua Celica'!H184)))</f>
        <v xml:space="preserve"> -79.95779338112183</v>
      </c>
      <c r="F187" s="11" t="s">
        <v>1260</v>
      </c>
      <c r="G187" s="19" t="str">
        <f>IF(ISBLANK('Contactos Agua Celica'!F184)," ","false")</f>
        <v>false</v>
      </c>
      <c r="H187" s="19" t="str">
        <f>IF(ISBLANK('Contactos Agua Celica'!F184)," ","0")</f>
        <v>0</v>
      </c>
      <c r="I187" s="19" t="str">
        <f>IF(ISBLANK('Contactos Agua Celica'!F184)," ","0")</f>
        <v>0</v>
      </c>
    </row>
    <row r="188" spans="1:9" x14ac:dyDescent="0.3">
      <c r="A188" s="19" t="s">
        <v>802</v>
      </c>
      <c r="B188" s="20" t="str">
        <f>IF(ISBLANK('Contactos Agua Celica'!F185),"",'Contactos Agua Celica'!F185)</f>
        <v>Ferrecuador Eras y Alava</v>
      </c>
      <c r="C188" s="18" t="str">
        <f>IF(ISBLANK('Contactos Agua Celica'!G185),"",'Contactos Agua Celica'!G185)</f>
        <v>+593 99 400 8271</v>
      </c>
      <c r="D188" s="19" t="str">
        <f>IF(ISBLANK('Contactos Agua Celica'!H185),"",MID('Contactos Agua Celica'!H185,1,FIND(",",'Contactos Agua Celica'!H185,1)-1))</f>
        <v/>
      </c>
      <c r="E188" s="19" t="str">
        <f>IF(ISBLANK('Contactos Agua Celica'!H185),"",MID('Contactos Agua Celica'!H185,FIND(",",'Contactos Agua Celica'!H185,1)+1,LEN('Contactos Agua Celica'!H185)))</f>
        <v/>
      </c>
      <c r="F188" s="11" t="s">
        <v>1257</v>
      </c>
      <c r="G188" s="19" t="str">
        <f>IF(ISBLANK('Contactos Agua Celica'!F185)," ","false")</f>
        <v>false</v>
      </c>
      <c r="H188" s="19" t="str">
        <f>IF(ISBLANK('Contactos Agua Celica'!F185)," ","0")</f>
        <v>0</v>
      </c>
      <c r="I188" s="19" t="str">
        <f>IF(ISBLANK('Contactos Agua Celica'!F185)," ","0")</f>
        <v>0</v>
      </c>
    </row>
    <row r="189" spans="1:9" x14ac:dyDescent="0.3">
      <c r="A189" s="19" t="s">
        <v>803</v>
      </c>
      <c r="B189" s="20" t="str">
        <f>IF(ISBLANK('Contactos Agua Celica'!F186),"",'Contactos Agua Celica'!F186)</f>
        <v>Flor Patiño</v>
      </c>
      <c r="C189" s="18" t="str">
        <f>IF(ISBLANK('Contactos Agua Celica'!G186),"",'Contactos Agua Celica'!G186)</f>
        <v>+593 98 763 8050</v>
      </c>
      <c r="D189" s="19" t="str">
        <f>IF(ISBLANK('Contactos Agua Celica'!H186),"",MID('Contactos Agua Celica'!H186,1,FIND(",",'Contactos Agua Celica'!H186,1)-1))</f>
        <v>-4.105661637556248</v>
      </c>
      <c r="E189" s="19" t="str">
        <f>IF(ISBLANK('Contactos Agua Celica'!H186),"",MID('Contactos Agua Celica'!H186,FIND(",",'Contactos Agua Celica'!H186,1)+1,LEN('Contactos Agua Celica'!H186)))</f>
        <v xml:space="preserve"> -79.9558517577656</v>
      </c>
      <c r="F189" s="11" t="s">
        <v>1257</v>
      </c>
      <c r="G189" s="19" t="str">
        <f>IF(ISBLANK('Contactos Agua Celica'!F186)," ","false")</f>
        <v>false</v>
      </c>
      <c r="H189" s="19" t="str">
        <f>IF(ISBLANK('Contactos Agua Celica'!F186)," ","0")</f>
        <v>0</v>
      </c>
      <c r="I189" s="19" t="str">
        <f>IF(ISBLANK('Contactos Agua Celica'!F186)," ","0")</f>
        <v>0</v>
      </c>
    </row>
    <row r="190" spans="1:9" x14ac:dyDescent="0.3">
      <c r="A190" s="19" t="s">
        <v>804</v>
      </c>
      <c r="B190" s="20" t="str">
        <f>IF(ISBLANK('Contactos Agua Celica'!F187),"",'Contactos Agua Celica'!F187)</f>
        <v>Francisco Vera 2</v>
      </c>
      <c r="C190" s="18" t="str">
        <f>IF(ISBLANK('Contactos Agua Celica'!G187),"",'Contactos Agua Celica'!G187)</f>
        <v>+593 99 989 3732</v>
      </c>
      <c r="D190" s="19" t="str">
        <f>IF(ISBLANK('Contactos Agua Celica'!H187),"",MID('Contactos Agua Celica'!H187,1,FIND(",",'Contactos Agua Celica'!H187,1)-1))</f>
        <v/>
      </c>
      <c r="E190" s="19" t="str">
        <f>IF(ISBLANK('Contactos Agua Celica'!H187),"",MID('Contactos Agua Celica'!H187,FIND(",",'Contactos Agua Celica'!H187,1)+1,LEN('Contactos Agua Celica'!H187)))</f>
        <v/>
      </c>
      <c r="F190" s="11" t="s">
        <v>1267</v>
      </c>
      <c r="G190" s="19" t="str">
        <f>IF(ISBLANK('Contactos Agua Celica'!F187)," ","false")</f>
        <v>false</v>
      </c>
      <c r="H190" s="19" t="str">
        <f>IF(ISBLANK('Contactos Agua Celica'!F187)," ","0")</f>
        <v>0</v>
      </c>
      <c r="I190" s="19" t="str">
        <f>IF(ISBLANK('Contactos Agua Celica'!F187)," ","0")</f>
        <v>0</v>
      </c>
    </row>
    <row r="191" spans="1:9" x14ac:dyDescent="0.3">
      <c r="A191" s="19" t="s">
        <v>805</v>
      </c>
      <c r="B191" s="20" t="str">
        <f>IF(ISBLANK('Contactos Agua Celica'!F188),"",'Contactos Agua Celica'!F188)</f>
        <v>Francisco Vera Panadero</v>
      </c>
      <c r="C191" s="18" t="str">
        <f>IF(ISBLANK('Contactos Agua Celica'!G188),"",'Contactos Agua Celica'!G188)</f>
        <v>099 471 7041</v>
      </c>
      <c r="D191" s="19" t="str">
        <f>IF(ISBLANK('Contactos Agua Celica'!H188),"",MID('Contactos Agua Celica'!H188,1,FIND(",",'Contactos Agua Celica'!H188,1)-1))</f>
        <v/>
      </c>
      <c r="E191" s="19" t="str">
        <f>IF(ISBLANK('Contactos Agua Celica'!H188),"",MID('Contactos Agua Celica'!H188,FIND(",",'Contactos Agua Celica'!H188,1)+1,LEN('Contactos Agua Celica'!H188)))</f>
        <v/>
      </c>
      <c r="F191" s="11" t="s">
        <v>1267</v>
      </c>
      <c r="G191" s="19" t="str">
        <f>IF(ISBLANK('Contactos Agua Celica'!F188)," ","false")</f>
        <v>false</v>
      </c>
      <c r="H191" s="19" t="str">
        <f>IF(ISBLANK('Contactos Agua Celica'!F188)," ","0")</f>
        <v>0</v>
      </c>
      <c r="I191" s="19" t="str">
        <f>IF(ISBLANK('Contactos Agua Celica'!F188)," ","0")</f>
        <v>0</v>
      </c>
    </row>
    <row r="192" spans="1:9" x14ac:dyDescent="0.3">
      <c r="A192" s="19" t="s">
        <v>806</v>
      </c>
      <c r="B192" s="20" t="str">
        <f>IF(ISBLANK('Contactos Agua Celica'!F189),"",'Contactos Agua Celica'!F189)</f>
        <v>Franco Rogel</v>
      </c>
      <c r="C192" s="18" t="str">
        <f>IF(ISBLANK('Contactos Agua Celica'!G189),"",'Contactos Agua Celica'!G189)</f>
        <v>+593 99 376 3520</v>
      </c>
      <c r="D192" s="19" t="str">
        <f>IF(ISBLANK('Contactos Agua Celica'!H189),"",MID('Contactos Agua Celica'!H189,1,FIND(",",'Contactos Agua Celica'!H189,1)-1))</f>
        <v>-4.10325435830889</v>
      </c>
      <c r="E192" s="19" t="str">
        <f>IF(ISBLANK('Contactos Agua Celica'!H189),"",MID('Contactos Agua Celica'!H189,FIND(",",'Contactos Agua Celica'!H189,1)+1,LEN('Contactos Agua Celica'!H189)))</f>
        <v xml:space="preserve"> -79.95708034117884</v>
      </c>
      <c r="F192" s="11" t="s">
        <v>1267</v>
      </c>
      <c r="G192" s="19" t="str">
        <f>IF(ISBLANK('Contactos Agua Celica'!F189)," ","false")</f>
        <v>false</v>
      </c>
      <c r="H192" s="19" t="str">
        <f>IF(ISBLANK('Contactos Agua Celica'!F189)," ","0")</f>
        <v>0</v>
      </c>
      <c r="I192" s="19" t="str">
        <f>IF(ISBLANK('Contactos Agua Celica'!F189)," ","0")</f>
        <v>0</v>
      </c>
    </row>
    <row r="193" spans="1:9" x14ac:dyDescent="0.3">
      <c r="A193" s="19" t="s">
        <v>807</v>
      </c>
      <c r="B193" s="20" t="str">
        <f>IF(ISBLANK('Contactos Agua Celica'!F190),"",'Contactos Agua Celica'!F190)</f>
        <v>Franco Torres</v>
      </c>
      <c r="C193" s="18" t="str">
        <f>IF(ISBLANK('Contactos Agua Celica'!G190),"",'Contactos Agua Celica'!G190)</f>
        <v>099 530 4748</v>
      </c>
      <c r="D193" s="19" t="str">
        <f>IF(ISBLANK('Contactos Agua Celica'!H190),"",MID('Contactos Agua Celica'!H190,1,FIND(",",'Contactos Agua Celica'!H190,1)-1))</f>
        <v/>
      </c>
      <c r="E193" s="19" t="str">
        <f>IF(ISBLANK('Contactos Agua Celica'!H190),"",MID('Contactos Agua Celica'!H190,FIND(",",'Contactos Agua Celica'!H190,1)+1,LEN('Contactos Agua Celica'!H190)))</f>
        <v/>
      </c>
      <c r="F193" s="11" t="s">
        <v>1258</v>
      </c>
      <c r="G193" s="19" t="str">
        <f>IF(ISBLANK('Contactos Agua Celica'!F190)," ","false")</f>
        <v>false</v>
      </c>
      <c r="H193" s="19" t="str">
        <f>IF(ISBLANK('Contactos Agua Celica'!F190)," ","0")</f>
        <v>0</v>
      </c>
      <c r="I193" s="19" t="str">
        <f>IF(ISBLANK('Contactos Agua Celica'!F190)," ","0")</f>
        <v>0</v>
      </c>
    </row>
    <row r="194" spans="1:9" x14ac:dyDescent="0.3">
      <c r="A194" s="19" t="s">
        <v>808</v>
      </c>
      <c r="B194" s="20" t="str">
        <f>IF(ISBLANK('Contactos Agua Celica'!F191),"",'Contactos Agua Celica'!F191)</f>
        <v>Franklin Ranbay</v>
      </c>
      <c r="C194" s="18" t="str">
        <f>IF(ISBLANK('Contactos Agua Celica'!G191),"",'Contactos Agua Celica'!G191)</f>
        <v>+593 98 858 4036</v>
      </c>
      <c r="D194" s="19" t="str">
        <f>IF(ISBLANK('Contactos Agua Celica'!H191),"",MID('Contactos Agua Celica'!H191,1,FIND(",",'Contactos Agua Celica'!H191,1)-1))</f>
        <v/>
      </c>
      <c r="E194" s="19" t="str">
        <f>IF(ISBLANK('Contactos Agua Celica'!H191),"",MID('Contactos Agua Celica'!H191,FIND(",",'Contactos Agua Celica'!H191,1)+1,LEN('Contactos Agua Celica'!H191)))</f>
        <v/>
      </c>
      <c r="F194" s="11" t="s">
        <v>1267</v>
      </c>
      <c r="G194" s="19" t="str">
        <f>IF(ISBLANK('Contactos Agua Celica'!F191)," ","false")</f>
        <v>false</v>
      </c>
      <c r="H194" s="19" t="str">
        <f>IF(ISBLANK('Contactos Agua Celica'!F191)," ","0")</f>
        <v>0</v>
      </c>
      <c r="I194" s="19" t="str">
        <f>IF(ISBLANK('Contactos Agua Celica'!F191)," ","0")</f>
        <v>0</v>
      </c>
    </row>
    <row r="195" spans="1:9" x14ac:dyDescent="0.3">
      <c r="A195" s="19" t="s">
        <v>809</v>
      </c>
      <c r="B195" s="20" t="str">
        <f>IF(ISBLANK('Contactos Agua Celica'!F192),"",'Contactos Agua Celica'!F192)</f>
        <v>Freddy Varón</v>
      </c>
      <c r="C195" s="18" t="str">
        <f>IF(ISBLANK('Contactos Agua Celica'!G192),"",'Contactos Agua Celica'!G192)</f>
        <v>+593 98 942 8435</v>
      </c>
      <c r="D195" s="19" t="str">
        <f>IF(ISBLANK('Contactos Agua Celica'!H192),"",MID('Contactos Agua Celica'!H192,1,FIND(",",'Contactos Agua Celica'!H192,1)-1))</f>
        <v/>
      </c>
      <c r="E195" s="19" t="str">
        <f>IF(ISBLANK('Contactos Agua Celica'!H192),"",MID('Contactos Agua Celica'!H192,FIND(",",'Contactos Agua Celica'!H192,1)+1,LEN('Contactos Agua Celica'!H192)))</f>
        <v/>
      </c>
      <c r="F195" s="11" t="s">
        <v>1267</v>
      </c>
      <c r="G195" s="19" t="str">
        <f>IF(ISBLANK('Contactos Agua Celica'!F192)," ","false")</f>
        <v>false</v>
      </c>
      <c r="H195" s="19" t="str">
        <f>IF(ISBLANK('Contactos Agua Celica'!F192)," ","0")</f>
        <v>0</v>
      </c>
      <c r="I195" s="19" t="str">
        <f>IF(ISBLANK('Contactos Agua Celica'!F192)," ","0")</f>
        <v>0</v>
      </c>
    </row>
    <row r="196" spans="1:9" x14ac:dyDescent="0.3">
      <c r="A196" s="19" t="s">
        <v>810</v>
      </c>
      <c r="B196" s="20" t="str">
        <f>IF(ISBLANK('Contactos Agua Celica'!F193),"",'Contactos Agua Celica'!F193)</f>
        <v>Fundas embalaje</v>
      </c>
      <c r="C196" s="18" t="str">
        <f>IF(ISBLANK('Contactos Agua Celica'!G193),"",'Contactos Agua Celica'!G193)</f>
        <v>+593991405284</v>
      </c>
      <c r="D196" s="19" t="str">
        <f>IF(ISBLANK('Contactos Agua Celica'!H193),"",MID('Contactos Agua Celica'!H193,1,FIND(",",'Contactos Agua Celica'!H193,1)-1))</f>
        <v/>
      </c>
      <c r="E196" s="19" t="str">
        <f>IF(ISBLANK('Contactos Agua Celica'!H193),"",MID('Contactos Agua Celica'!H193,FIND(",",'Contactos Agua Celica'!H193,1)+1,LEN('Contactos Agua Celica'!H193)))</f>
        <v/>
      </c>
      <c r="F196" s="11" t="s">
        <v>1257</v>
      </c>
      <c r="G196" s="19" t="str">
        <f>IF(ISBLANK('Contactos Agua Celica'!F193)," ","false")</f>
        <v>false</v>
      </c>
      <c r="H196" s="19" t="str">
        <f>IF(ISBLANK('Contactos Agua Celica'!F193)," ","0")</f>
        <v>0</v>
      </c>
      <c r="I196" s="19" t="str">
        <f>IF(ISBLANK('Contactos Agua Celica'!F193)," ","0")</f>
        <v>0</v>
      </c>
    </row>
    <row r="197" spans="1:9" x14ac:dyDescent="0.3">
      <c r="A197" s="19" t="s">
        <v>811</v>
      </c>
      <c r="B197" s="20" t="str">
        <f>IF(ISBLANK('Contactos Agua Celica'!F194),"",'Contactos Agua Celica'!F194)</f>
        <v>Gaby Paredes</v>
      </c>
      <c r="C197" s="18" t="str">
        <f>IF(ISBLANK('Contactos Agua Celica'!G194),"",'Contactos Agua Celica'!G194)</f>
        <v>099 274 4823</v>
      </c>
      <c r="D197" s="19" t="str">
        <f>IF(ISBLANK('Contactos Agua Celica'!H194),"",MID('Contactos Agua Celica'!H194,1,FIND(",",'Contactos Agua Celica'!H194,1)-1))</f>
        <v/>
      </c>
      <c r="E197" s="19" t="str">
        <f>IF(ISBLANK('Contactos Agua Celica'!H194),"",MID('Contactos Agua Celica'!H194,FIND(",",'Contactos Agua Celica'!H194,1)+1,LEN('Contactos Agua Celica'!H194)))</f>
        <v/>
      </c>
      <c r="F197" s="11" t="s">
        <v>1267</v>
      </c>
      <c r="G197" s="19" t="str">
        <f>IF(ISBLANK('Contactos Agua Celica'!F194)," ","false")</f>
        <v>false</v>
      </c>
      <c r="H197" s="19" t="str">
        <f>IF(ISBLANK('Contactos Agua Celica'!F194)," ","0")</f>
        <v>0</v>
      </c>
      <c r="I197" s="19" t="str">
        <f>IF(ISBLANK('Contactos Agua Celica'!F194)," ","0")</f>
        <v>0</v>
      </c>
    </row>
    <row r="198" spans="1:9" x14ac:dyDescent="0.3">
      <c r="A198" s="19" t="s">
        <v>812</v>
      </c>
      <c r="B198" s="20" t="str">
        <f>IF(ISBLANK('Contactos Agua Celica'!F195),"",'Contactos Agua Celica'!F195)</f>
        <v>Gaby Torres</v>
      </c>
      <c r="C198" s="18" t="str">
        <f>IF(ISBLANK('Contactos Agua Celica'!G195),"",'Contactos Agua Celica'!G195)</f>
        <v>+593 96 301 4585</v>
      </c>
      <c r="D198" s="19" t="str">
        <f>IF(ISBLANK('Contactos Agua Celica'!H195),"",MID('Contactos Agua Celica'!H195,1,FIND(",",'Contactos Agua Celica'!H195,1)-1))</f>
        <v/>
      </c>
      <c r="E198" s="19" t="str">
        <f>IF(ISBLANK('Contactos Agua Celica'!H195),"",MID('Contactos Agua Celica'!H195,FIND(",",'Contactos Agua Celica'!H195,1)+1,LEN('Contactos Agua Celica'!H195)))</f>
        <v/>
      </c>
      <c r="F198" s="11" t="s">
        <v>1267</v>
      </c>
      <c r="G198" s="19" t="str">
        <f>IF(ISBLANK('Contactos Agua Celica'!F195)," ","false")</f>
        <v>false</v>
      </c>
      <c r="H198" s="19" t="str">
        <f>IF(ISBLANK('Contactos Agua Celica'!F195)," ","0")</f>
        <v>0</v>
      </c>
      <c r="I198" s="19" t="str">
        <f>IF(ISBLANK('Contactos Agua Celica'!F195)," ","0")</f>
        <v>0</v>
      </c>
    </row>
    <row r="199" spans="1:9" x14ac:dyDescent="0.3">
      <c r="A199" s="19" t="s">
        <v>813</v>
      </c>
      <c r="B199" s="20" t="str">
        <f>IF(ISBLANK('Contactos Agua Celica'!F196),"",'Contactos Agua Celica'!F196)</f>
        <v>Gael</v>
      </c>
      <c r="C199" s="18" t="str">
        <f>IF(ISBLANK('Contactos Agua Celica'!G196),"",'Contactos Agua Celica'!G196)</f>
        <v>+593 95 959 2053</v>
      </c>
      <c r="D199" s="19" t="str">
        <f>IF(ISBLANK('Contactos Agua Celica'!H196),"",MID('Contactos Agua Celica'!H196,1,FIND(",",'Contactos Agua Celica'!H196,1)-1))</f>
        <v/>
      </c>
      <c r="E199" s="19" t="str">
        <f>IF(ISBLANK('Contactos Agua Celica'!H196),"",MID('Contactos Agua Celica'!H196,FIND(",",'Contactos Agua Celica'!H196,1)+1,LEN('Contactos Agua Celica'!H196)))</f>
        <v/>
      </c>
      <c r="F199" s="11" t="s">
        <v>1258</v>
      </c>
      <c r="G199" s="19" t="str">
        <f>IF(ISBLANK('Contactos Agua Celica'!F196)," ","false")</f>
        <v>false</v>
      </c>
      <c r="H199" s="19" t="str">
        <f>IF(ISBLANK('Contactos Agua Celica'!F196)," ","0")</f>
        <v>0</v>
      </c>
      <c r="I199" s="19" t="str">
        <f>IF(ISBLANK('Contactos Agua Celica'!F196)," ","0")</f>
        <v>0</v>
      </c>
    </row>
    <row r="200" spans="1:9" x14ac:dyDescent="0.3">
      <c r="A200" s="19" t="s">
        <v>814</v>
      </c>
      <c r="B200" s="20" t="str">
        <f>IF(ISBLANK('Contactos Agua Celica'!F197),"",'Contactos Agua Celica'!F197)</f>
        <v>Galo Fernandez</v>
      </c>
      <c r="C200" s="18" t="str">
        <f>IF(ISBLANK('Contactos Agua Celica'!G197),"",'Contactos Agua Celica'!G197)</f>
        <v>0990926119</v>
      </c>
      <c r="D200" s="19" t="str">
        <f>IF(ISBLANK('Contactos Agua Celica'!H197),"",MID('Contactos Agua Celica'!H197,1,FIND(",",'Contactos Agua Celica'!H197,1)-1))</f>
        <v>-4.102014395525535</v>
      </c>
      <c r="E200" s="19" t="str">
        <f>IF(ISBLANK('Contactos Agua Celica'!H197),"",MID('Contactos Agua Celica'!H197,FIND(",",'Contactos Agua Celica'!H197,1)+1,LEN('Contactos Agua Celica'!H197)))</f>
        <v xml:space="preserve"> -79.95760025511616</v>
      </c>
      <c r="F200" s="11" t="s">
        <v>1267</v>
      </c>
      <c r="G200" s="19" t="str">
        <f>IF(ISBLANK('Contactos Agua Celica'!F197)," ","false")</f>
        <v>false</v>
      </c>
      <c r="H200" s="19" t="str">
        <f>IF(ISBLANK('Contactos Agua Celica'!F197)," ","0")</f>
        <v>0</v>
      </c>
      <c r="I200" s="19" t="str">
        <f>IF(ISBLANK('Contactos Agua Celica'!F197)," ","0")</f>
        <v>0</v>
      </c>
    </row>
    <row r="201" spans="1:9" x14ac:dyDescent="0.3">
      <c r="A201" s="19" t="s">
        <v>815</v>
      </c>
      <c r="B201" s="20" t="str">
        <f>IF(ISBLANK('Contactos Agua Celica'!F198),"",'Contactos Agua Celica'!F198)</f>
        <v>Gladis Montalvan</v>
      </c>
      <c r="C201" s="18" t="str">
        <f>IF(ISBLANK('Contactos Agua Celica'!G198),"",'Contactos Agua Celica'!G198)</f>
        <v>+593 96 805 4717</v>
      </c>
      <c r="D201" s="19" t="str">
        <f>IF(ISBLANK('Contactos Agua Celica'!H198),"",MID('Contactos Agua Celica'!H198,1,FIND(",",'Contactos Agua Celica'!H198,1)-1))</f>
        <v/>
      </c>
      <c r="E201" s="19" t="str">
        <f>IF(ISBLANK('Contactos Agua Celica'!H198),"",MID('Contactos Agua Celica'!H198,FIND(",",'Contactos Agua Celica'!H198,1)+1,LEN('Contactos Agua Celica'!H198)))</f>
        <v/>
      </c>
      <c r="F201" s="11" t="s">
        <v>1258</v>
      </c>
      <c r="G201" s="19" t="str">
        <f>IF(ISBLANK('Contactos Agua Celica'!F198)," ","false")</f>
        <v>false</v>
      </c>
      <c r="H201" s="19" t="str">
        <f>IF(ISBLANK('Contactos Agua Celica'!F198)," ","0")</f>
        <v>0</v>
      </c>
      <c r="I201" s="19" t="str">
        <f>IF(ISBLANK('Contactos Agua Celica'!F198)," ","0")</f>
        <v>0</v>
      </c>
    </row>
    <row r="202" spans="1:9" x14ac:dyDescent="0.3">
      <c r="A202" s="19" t="s">
        <v>816</v>
      </c>
      <c r="B202" s="20" t="str">
        <f>IF(ISBLANK('Contactos Agua Celica'!F199),"",'Contactos Agua Celica'!F199)</f>
        <v>Gonzalo Ambuludi</v>
      </c>
      <c r="C202" s="18" t="str">
        <f>IF(ISBLANK('Contactos Agua Celica'!G199),"",'Contactos Agua Celica'!G199)</f>
        <v>+593 98 936 3486</v>
      </c>
      <c r="D202" s="19" t="str">
        <f>IF(ISBLANK('Contactos Agua Celica'!H199),"",MID('Contactos Agua Celica'!H199,1,FIND(",",'Contactos Agua Celica'!H199,1)-1))</f>
        <v/>
      </c>
      <c r="E202" s="19" t="str">
        <f>IF(ISBLANK('Contactos Agua Celica'!H199),"",MID('Contactos Agua Celica'!H199,FIND(",",'Contactos Agua Celica'!H199,1)+1,LEN('Contactos Agua Celica'!H199)))</f>
        <v/>
      </c>
      <c r="F202" s="11" t="s">
        <v>1253</v>
      </c>
      <c r="G202" s="19" t="str">
        <f>IF(ISBLANK('Contactos Agua Celica'!F199)," ","false")</f>
        <v>false</v>
      </c>
      <c r="H202" s="19" t="str">
        <f>IF(ISBLANK('Contactos Agua Celica'!F199)," ","0")</f>
        <v>0</v>
      </c>
      <c r="I202" s="19" t="str">
        <f>IF(ISBLANK('Contactos Agua Celica'!F199)," ","0")</f>
        <v>0</v>
      </c>
    </row>
    <row r="203" spans="1:9" x14ac:dyDescent="0.3">
      <c r="A203" s="19" t="s">
        <v>817</v>
      </c>
      <c r="B203" s="20" t="str">
        <f>IF(ISBLANK('Contactos Agua Celica'!F200),"",'Contactos Agua Celica'!F200)</f>
        <v>Gonzalo Mereci 👷🏻‍♂️</v>
      </c>
      <c r="C203" s="18" t="str">
        <f>IF(ISBLANK('Contactos Agua Celica'!G200),"",'Contactos Agua Celica'!G200)</f>
        <v>+593 96 818 6304</v>
      </c>
      <c r="D203" s="19" t="str">
        <f>IF(ISBLANK('Contactos Agua Celica'!H200),"",MID('Contactos Agua Celica'!H200,1,FIND(",",'Contactos Agua Celica'!H200,1)-1))</f>
        <v/>
      </c>
      <c r="E203" s="19" t="str">
        <f>IF(ISBLANK('Contactos Agua Celica'!H200),"",MID('Contactos Agua Celica'!H200,FIND(",",'Contactos Agua Celica'!H200,1)+1,LEN('Contactos Agua Celica'!H200)))</f>
        <v/>
      </c>
      <c r="F203" s="11" t="s">
        <v>1267</v>
      </c>
      <c r="G203" s="19" t="str">
        <f>IF(ISBLANK('Contactos Agua Celica'!F200)," ","false")</f>
        <v>false</v>
      </c>
      <c r="H203" s="19" t="str">
        <f>IF(ISBLANK('Contactos Agua Celica'!F200)," ","0")</f>
        <v>0</v>
      </c>
      <c r="I203" s="19" t="str">
        <f>IF(ISBLANK('Contactos Agua Celica'!F200)," ","0")</f>
        <v>0</v>
      </c>
    </row>
    <row r="204" spans="1:9" x14ac:dyDescent="0.3">
      <c r="A204" s="19" t="s">
        <v>818</v>
      </c>
      <c r="B204" s="20" t="str">
        <f>IF(ISBLANK('Contactos Agua Celica'!F201),"",'Contactos Agua Celica'!F201)</f>
        <v>Gordillo</v>
      </c>
      <c r="C204" s="18">
        <f>IF(ISBLANK('Contactos Agua Celica'!G201),"",'Contactos Agua Celica'!G201)</f>
        <v>959227431</v>
      </c>
      <c r="D204" s="19" t="str">
        <f>IF(ISBLANK('Contactos Agua Celica'!H201),"",MID('Contactos Agua Celica'!H201,1,FIND(",",'Contactos Agua Celica'!H201,1)-1))</f>
        <v>-4.1040407282781</v>
      </c>
      <c r="E204" s="19" t="str">
        <f>IF(ISBLANK('Contactos Agua Celica'!H201),"",MID('Contactos Agua Celica'!H201,FIND(",",'Contactos Agua Celica'!H201,1)+1,LEN('Contactos Agua Celica'!H201)))</f>
        <v xml:space="preserve"> -79.95828662530617</v>
      </c>
      <c r="F204" s="11" t="s">
        <v>1267</v>
      </c>
      <c r="G204" s="19" t="str">
        <f>IF(ISBLANK('Contactos Agua Celica'!F201)," ","false")</f>
        <v>false</v>
      </c>
      <c r="H204" s="19" t="str">
        <f>IF(ISBLANK('Contactos Agua Celica'!F201)," ","0")</f>
        <v>0</v>
      </c>
      <c r="I204" s="19" t="str">
        <f>IF(ISBLANK('Contactos Agua Celica'!F201)," ","0")</f>
        <v>0</v>
      </c>
    </row>
    <row r="205" spans="1:9" x14ac:dyDescent="0.3">
      <c r="A205" s="19" t="s">
        <v>819</v>
      </c>
      <c r="B205" s="20" t="str">
        <f>IF(ISBLANK('Contactos Agua Celica'!F202),"",'Contactos Agua Celica'!F202)</f>
        <v>Gym</v>
      </c>
      <c r="C205" s="18" t="str">
        <f>IF(ISBLANK('Contactos Agua Celica'!G202),"",'Contactos Agua Celica'!G202)</f>
        <v>+593 99 105 0096</v>
      </c>
      <c r="D205" s="19" t="str">
        <f>IF(ISBLANK('Contactos Agua Celica'!H202),"",MID('Contactos Agua Celica'!H202,1,FIND(",",'Contactos Agua Celica'!H202,1)-1))</f>
        <v>-4.106208281148113</v>
      </c>
      <c r="E205" s="19" t="str">
        <f>IF(ISBLANK('Contactos Agua Celica'!H202),"",MID('Contactos Agua Celica'!H202,FIND(",",'Contactos Agua Celica'!H202,1)+1,LEN('Contactos Agua Celica'!H202)))</f>
        <v xml:space="preserve"> -79.95480043567936</v>
      </c>
      <c r="F205" s="11" t="s">
        <v>1267</v>
      </c>
      <c r="G205" s="19" t="str">
        <f>IF(ISBLANK('Contactos Agua Celica'!F202)," ","false")</f>
        <v>false</v>
      </c>
      <c r="H205" s="19" t="str">
        <f>IF(ISBLANK('Contactos Agua Celica'!F202)," ","0")</f>
        <v>0</v>
      </c>
      <c r="I205" s="19" t="str">
        <f>IF(ISBLANK('Contactos Agua Celica'!F202)," ","0")</f>
        <v>0</v>
      </c>
    </row>
    <row r="206" spans="1:9" x14ac:dyDescent="0.3">
      <c r="A206" s="19" t="s">
        <v>820</v>
      </c>
      <c r="B206" s="20" t="str">
        <f>IF(ISBLANK('Contactos Agua Celica'!F203),"",'Contactos Agua Celica'!F203)</f>
        <v>Hamburguesas</v>
      </c>
      <c r="C206" s="18" t="str">
        <f>IF(ISBLANK('Contactos Agua Celica'!G203),"",'Contactos Agua Celica'!G203)</f>
        <v>0991640461</v>
      </c>
      <c r="D206" s="19" t="str">
        <f>IF(ISBLANK('Contactos Agua Celica'!H203),"",MID('Contactos Agua Celica'!H203,1,FIND(",",'Contactos Agua Celica'!H203,1)-1))</f>
        <v/>
      </c>
      <c r="E206" s="19" t="str">
        <f>IF(ISBLANK('Contactos Agua Celica'!H203),"",MID('Contactos Agua Celica'!H203,FIND(",",'Contactos Agua Celica'!H203,1)+1,LEN('Contactos Agua Celica'!H203)))</f>
        <v/>
      </c>
      <c r="F206" s="11" t="s">
        <v>1267</v>
      </c>
      <c r="G206" s="19" t="str">
        <f>IF(ISBLANK('Contactos Agua Celica'!F203)," ","false")</f>
        <v>false</v>
      </c>
      <c r="H206" s="19" t="str">
        <f>IF(ISBLANK('Contactos Agua Celica'!F203)," ","0")</f>
        <v>0</v>
      </c>
      <c r="I206" s="19" t="str">
        <f>IF(ISBLANK('Contactos Agua Celica'!F203)," ","0")</f>
        <v>0</v>
      </c>
    </row>
    <row r="207" spans="1:9" x14ac:dyDescent="0.3">
      <c r="A207" s="19" t="s">
        <v>821</v>
      </c>
      <c r="B207" s="20" t="str">
        <f>IF(ISBLANK('Contactos Agua Celica'!F204),"",'Contactos Agua Celica'!F204)</f>
        <v>Harry Ordoñez</v>
      </c>
      <c r="C207" s="18" t="str">
        <f>IF(ISBLANK('Contactos Agua Celica'!G204),"",'Contactos Agua Celica'!G204)</f>
        <v>097 978 3492</v>
      </c>
      <c r="D207" s="19" t="str">
        <f>IF(ISBLANK('Contactos Agua Celica'!H204),"",MID('Contactos Agua Celica'!H204,1,FIND(",",'Contactos Agua Celica'!H204,1)-1))</f>
        <v>-4.101847105615814</v>
      </c>
      <c r="E207" s="19" t="str">
        <f>IF(ISBLANK('Contactos Agua Celica'!H204),"",MID('Contactos Agua Celica'!H204,FIND(",",'Contactos Agua Celica'!H204,1)+1,LEN('Contactos Agua Celica'!H204)))</f>
        <v xml:space="preserve"> -79.95256749011857</v>
      </c>
      <c r="F207" s="11" t="s">
        <v>1267</v>
      </c>
      <c r="G207" s="19" t="str">
        <f>IF(ISBLANK('Contactos Agua Celica'!F204)," ","false")</f>
        <v>false</v>
      </c>
      <c r="H207" s="19" t="str">
        <f>IF(ISBLANK('Contactos Agua Celica'!F204)," ","0")</f>
        <v>0</v>
      </c>
      <c r="I207" s="19" t="str">
        <f>IF(ISBLANK('Contactos Agua Celica'!F204)," ","0")</f>
        <v>0</v>
      </c>
    </row>
    <row r="208" spans="1:9" x14ac:dyDescent="0.3">
      <c r="A208" s="19" t="s">
        <v>822</v>
      </c>
      <c r="B208" s="20" t="str">
        <f>IF(ISBLANK('Contactos Agua Celica'!F205),"",'Contactos Agua Celica'!F205)</f>
        <v>Hello Pazmiño</v>
      </c>
      <c r="C208" s="18" t="str">
        <f>IF(ISBLANK('Contactos Agua Celica'!G205),"",'Contactos Agua Celica'!G205)</f>
        <v>+593 99 147 4230</v>
      </c>
      <c r="D208" s="19" t="str">
        <f>IF(ISBLANK('Contactos Agua Celica'!H205),"",MID('Contactos Agua Celica'!H205,1,FIND(",",'Contactos Agua Celica'!H205,1)-1))</f>
        <v/>
      </c>
      <c r="E208" s="19" t="str">
        <f>IF(ISBLANK('Contactos Agua Celica'!H205),"",MID('Contactos Agua Celica'!H205,FIND(",",'Contactos Agua Celica'!H205,1)+1,LEN('Contactos Agua Celica'!H205)))</f>
        <v/>
      </c>
      <c r="F208" s="11" t="s">
        <v>1267</v>
      </c>
      <c r="G208" s="19" t="str">
        <f>IF(ISBLANK('Contactos Agua Celica'!F205)," ","false")</f>
        <v>false</v>
      </c>
      <c r="H208" s="19" t="str">
        <f>IF(ISBLANK('Contactos Agua Celica'!F205)," ","0")</f>
        <v>0</v>
      </c>
      <c r="I208" s="19" t="str">
        <f>IF(ISBLANK('Contactos Agua Celica'!F205)," ","0")</f>
        <v>0</v>
      </c>
    </row>
    <row r="209" spans="1:9" x14ac:dyDescent="0.3">
      <c r="A209" s="19" t="s">
        <v>823</v>
      </c>
      <c r="B209" s="20" t="str">
        <f>IF(ISBLANK('Contactos Agua Celica'!F206),"",'Contactos Agua Celica'!F206)</f>
        <v>Hernan Amaguaña</v>
      </c>
      <c r="C209" s="18" t="str">
        <f>IF(ISBLANK('Contactos Agua Celica'!G206),"",'Contactos Agua Celica'!G206)</f>
        <v>+593 99 810 1891</v>
      </c>
      <c r="D209" s="19" t="str">
        <f>IF(ISBLANK('Contactos Agua Celica'!H206),"",MID('Contactos Agua Celica'!H206,1,FIND(",",'Contactos Agua Celica'!H206,1)-1))</f>
        <v>-4.10275710590743</v>
      </c>
      <c r="E209" s="19" t="str">
        <f>IF(ISBLANK('Contactos Agua Celica'!H206),"",MID('Contactos Agua Celica'!H206,FIND(",",'Contactos Agua Celica'!H206,1)+1,LEN('Contactos Agua Celica'!H206)))</f>
        <v xml:space="preserve"> -79.9529544053176</v>
      </c>
      <c r="F209" s="11" t="s">
        <v>1261</v>
      </c>
      <c r="G209" s="19" t="str">
        <f>IF(ISBLANK('Contactos Agua Celica'!F206)," ","false")</f>
        <v>false</v>
      </c>
      <c r="H209" s="19" t="str">
        <f>IF(ISBLANK('Contactos Agua Celica'!F206)," ","0")</f>
        <v>0</v>
      </c>
      <c r="I209" s="19" t="str">
        <f>IF(ISBLANK('Contactos Agua Celica'!F206)," ","0")</f>
        <v>0</v>
      </c>
    </row>
    <row r="210" spans="1:9" x14ac:dyDescent="0.3">
      <c r="A210" s="19" t="s">
        <v>824</v>
      </c>
      <c r="B210" s="20" t="str">
        <f>IF(ISBLANK('Contactos Agua Celica'!F207),"",'Contactos Agua Celica'!F207)</f>
        <v>Hernan Rodriguez</v>
      </c>
      <c r="C210" s="18" t="str">
        <f>IF(ISBLANK('Contactos Agua Celica'!G207),"",'Contactos Agua Celica'!G207)</f>
        <v>0994900946</v>
      </c>
      <c r="D210" s="19" t="str">
        <f>IF(ISBLANK('Contactos Agua Celica'!H207),"",MID('Contactos Agua Celica'!H207,1,FIND(",",'Contactos Agua Celica'!H207,1)-1))</f>
        <v/>
      </c>
      <c r="E210" s="19" t="str">
        <f>IF(ISBLANK('Contactos Agua Celica'!H207),"",MID('Contactos Agua Celica'!H207,FIND(",",'Contactos Agua Celica'!H207,1)+1,LEN('Contactos Agua Celica'!H207)))</f>
        <v/>
      </c>
      <c r="F210" s="11" t="s">
        <v>1267</v>
      </c>
      <c r="G210" s="19" t="str">
        <f>IF(ISBLANK('Contactos Agua Celica'!F207)," ","false")</f>
        <v>false</v>
      </c>
      <c r="H210" s="19" t="str">
        <f>IF(ISBLANK('Contactos Agua Celica'!F207)," ","0")</f>
        <v>0</v>
      </c>
      <c r="I210" s="19" t="str">
        <f>IF(ISBLANK('Contactos Agua Celica'!F207)," ","0")</f>
        <v>0</v>
      </c>
    </row>
    <row r="211" spans="1:9" x14ac:dyDescent="0.3">
      <c r="A211" s="19" t="s">
        <v>825</v>
      </c>
      <c r="B211" s="20" t="str">
        <f>IF(ISBLANK('Contactos Agua Celica'!F208),"",'Contactos Agua Celica'!F208)</f>
        <v>Hilda Amaguaña</v>
      </c>
      <c r="C211" s="18" t="str">
        <f>IF(ISBLANK('Contactos Agua Celica'!G208),"",'Contactos Agua Celica'!G208)</f>
        <v>+593 97 980 6900</v>
      </c>
      <c r="D211" s="19" t="str">
        <f>IF(ISBLANK('Contactos Agua Celica'!H208),"",MID('Contactos Agua Celica'!H208,1,FIND(",",'Contactos Agua Celica'!H208,1)-1))</f>
        <v>-4.102761489126005</v>
      </c>
      <c r="E211" s="19" t="str">
        <f>IF(ISBLANK('Contactos Agua Celica'!H208),"",MID('Contactos Agua Celica'!H208,FIND(",",'Contactos Agua Celica'!H208,1)+1,LEN('Contactos Agua Celica'!H208)))</f>
        <v xml:space="preserve"> -79.95296210449344</v>
      </c>
      <c r="F211" s="11" t="s">
        <v>1267</v>
      </c>
      <c r="G211" s="19" t="str">
        <f>IF(ISBLANK('Contactos Agua Celica'!F208)," ","false")</f>
        <v>false</v>
      </c>
      <c r="H211" s="19" t="str">
        <f>IF(ISBLANK('Contactos Agua Celica'!F208)," ","0")</f>
        <v>0</v>
      </c>
      <c r="I211" s="19" t="str">
        <f>IF(ISBLANK('Contactos Agua Celica'!F208)," ","0")</f>
        <v>0</v>
      </c>
    </row>
    <row r="212" spans="1:9" x14ac:dyDescent="0.3">
      <c r="A212" s="19" t="s">
        <v>826</v>
      </c>
      <c r="B212" s="20" t="str">
        <f>IF(ISBLANK('Contactos Agua Celica'!F209),"",'Contactos Agua Celica'!F209)</f>
        <v>Hilda León</v>
      </c>
      <c r="C212" s="18" t="str">
        <f>IF(ISBLANK('Contactos Agua Celica'!G209),"",'Contactos Agua Celica'!G209)</f>
        <v>0997563429</v>
      </c>
      <c r="D212" s="19" t="str">
        <f>IF(ISBLANK('Contactos Agua Celica'!H209),"",MID('Contactos Agua Celica'!H209,1,FIND(",",'Contactos Agua Celica'!H209,1)-1))</f>
        <v/>
      </c>
      <c r="E212" s="19" t="str">
        <f>IF(ISBLANK('Contactos Agua Celica'!H209),"",MID('Contactos Agua Celica'!H209,FIND(",",'Contactos Agua Celica'!H209,1)+1,LEN('Contactos Agua Celica'!H209)))</f>
        <v/>
      </c>
      <c r="F212" s="11" t="s">
        <v>1267</v>
      </c>
      <c r="G212" s="19" t="str">
        <f>IF(ISBLANK('Contactos Agua Celica'!F209)," ","false")</f>
        <v>false</v>
      </c>
      <c r="H212" s="19" t="str">
        <f>IF(ISBLANK('Contactos Agua Celica'!F209)," ","0")</f>
        <v>0</v>
      </c>
      <c r="I212" s="19" t="str">
        <f>IF(ISBLANK('Contactos Agua Celica'!F209)," ","0")</f>
        <v>0</v>
      </c>
    </row>
    <row r="213" spans="1:9" x14ac:dyDescent="0.3">
      <c r="A213" s="19" t="s">
        <v>827</v>
      </c>
      <c r="B213" s="20" t="str">
        <f>IF(ISBLANK('Contactos Agua Celica'!F210),"",'Contactos Agua Celica'!F210)</f>
        <v>Hna Lic Johana</v>
      </c>
      <c r="C213" s="18" t="str">
        <f>IF(ISBLANK('Contactos Agua Celica'!G210),"",'Contactos Agua Celica'!G210)</f>
        <v>0996076687</v>
      </c>
      <c r="D213" s="19" t="str">
        <f>IF(ISBLANK('Contactos Agua Celica'!H210),"",MID('Contactos Agua Celica'!H210,1,FIND(",",'Contactos Agua Celica'!H210,1)-1))</f>
        <v/>
      </c>
      <c r="E213" s="19" t="str">
        <f>IF(ISBLANK('Contactos Agua Celica'!H210),"",MID('Contactos Agua Celica'!H210,FIND(",",'Contactos Agua Celica'!H210,1)+1,LEN('Contactos Agua Celica'!H210)))</f>
        <v/>
      </c>
      <c r="F213" s="11" t="s">
        <v>1267</v>
      </c>
      <c r="G213" s="19" t="str">
        <f>IF(ISBLANK('Contactos Agua Celica'!F210)," ","false")</f>
        <v>false</v>
      </c>
      <c r="H213" s="19" t="str">
        <f>IF(ISBLANK('Contactos Agua Celica'!F210)," ","0")</f>
        <v>0</v>
      </c>
      <c r="I213" s="19" t="str">
        <f>IF(ISBLANK('Contactos Agua Celica'!F210)," ","0")</f>
        <v>0</v>
      </c>
    </row>
    <row r="214" spans="1:9" x14ac:dyDescent="0.3">
      <c r="A214" s="19" t="s">
        <v>828</v>
      </c>
      <c r="B214" s="20" t="str">
        <f>IF(ISBLANK('Contactos Agua Celica'!F211),"",'Contactos Agua Celica'!F211)</f>
        <v>Hugo Martines</v>
      </c>
      <c r="C214" s="18" t="str">
        <f>IF(ISBLANK('Contactos Agua Celica'!G211),"",'Contactos Agua Celica'!G211)</f>
        <v>0981897049</v>
      </c>
      <c r="D214" s="19" t="str">
        <f>IF(ISBLANK('Contactos Agua Celica'!H211),"",MID('Contactos Agua Celica'!H211,1,FIND(",",'Contactos Agua Celica'!H211,1)-1))</f>
        <v>-4.103346479463884</v>
      </c>
      <c r="E214" s="19" t="str">
        <f>IF(ISBLANK('Contactos Agua Celica'!H211),"",MID('Contactos Agua Celica'!H211,FIND(",",'Contactos Agua Celica'!H211,1)+1,LEN('Contactos Agua Celica'!H211)))</f>
        <v xml:space="preserve"> -79.95804645047077</v>
      </c>
      <c r="F214" s="11" t="s">
        <v>1267</v>
      </c>
      <c r="G214" s="19" t="str">
        <f>IF(ISBLANK('Contactos Agua Celica'!F211)," ","false")</f>
        <v>false</v>
      </c>
      <c r="H214" s="19" t="str">
        <f>IF(ISBLANK('Contactos Agua Celica'!F211)," ","0")</f>
        <v>0</v>
      </c>
      <c r="I214" s="19" t="str">
        <f>IF(ISBLANK('Contactos Agua Celica'!F211)," ","0")</f>
        <v>0</v>
      </c>
    </row>
    <row r="215" spans="1:9" x14ac:dyDescent="0.3">
      <c r="A215" s="19" t="s">
        <v>829</v>
      </c>
      <c r="B215" s="20" t="str">
        <f>IF(ISBLANK('Contactos Agua Celica'!F212),"",'Contactos Agua Celica'!F212)</f>
        <v>Hugo Martines</v>
      </c>
      <c r="C215" s="18" t="str">
        <f>IF(ISBLANK('Contactos Agua Celica'!G212),"",'Contactos Agua Celica'!G212)</f>
        <v>0981897049</v>
      </c>
      <c r="D215" s="19" t="str">
        <f>IF(ISBLANK('Contactos Agua Celica'!H212),"",MID('Contactos Agua Celica'!H212,1,FIND(",",'Contactos Agua Celica'!H212,1)-1))</f>
        <v>-4.103330936357155</v>
      </c>
      <c r="E215" s="19" t="str">
        <f>IF(ISBLANK('Contactos Agua Celica'!H212),"",MID('Contactos Agua Celica'!H212,FIND(",",'Contactos Agua Celica'!H212,1)+1,LEN('Contactos Agua Celica'!H212)))</f>
        <v xml:space="preserve"> -79.95805623758292</v>
      </c>
      <c r="F215" s="11" t="s">
        <v>1261</v>
      </c>
      <c r="G215" s="19" t="str">
        <f>IF(ISBLANK('Contactos Agua Celica'!F212)," ","false")</f>
        <v>false</v>
      </c>
      <c r="H215" s="19" t="str">
        <f>IF(ISBLANK('Contactos Agua Celica'!F212)," ","0")</f>
        <v>0</v>
      </c>
      <c r="I215" s="19" t="str">
        <f>IF(ISBLANK('Contactos Agua Celica'!F212)," ","0")</f>
        <v>0</v>
      </c>
    </row>
    <row r="216" spans="1:9" x14ac:dyDescent="0.3">
      <c r="A216" s="19" t="s">
        <v>830</v>
      </c>
      <c r="B216" s="20" t="str">
        <f>IF(ISBLANK('Contactos Agua Celica'!F213),"",'Contactos Agua Celica'!F213)</f>
        <v>Ing Robles</v>
      </c>
      <c r="C216" s="18" t="str">
        <f>IF(ISBLANK('Contactos Agua Celica'!G213),"",'Contactos Agua Celica'!G213)</f>
        <v>0990972147</v>
      </c>
      <c r="D216" s="19" t="str">
        <f>IF(ISBLANK('Contactos Agua Celica'!H213),"",MID('Contactos Agua Celica'!H213,1,FIND(",",'Contactos Agua Celica'!H213,1)-1))</f>
        <v>-4.103317289318429</v>
      </c>
      <c r="E216" s="19" t="str">
        <f>IF(ISBLANK('Contactos Agua Celica'!H213),"",MID('Contactos Agua Celica'!H213,FIND(",",'Contactos Agua Celica'!H213,1)+1,LEN('Contactos Agua Celica'!H213)))</f>
        <v xml:space="preserve"> -79.95709561030755</v>
      </c>
      <c r="F216" s="11" t="s">
        <v>1254</v>
      </c>
      <c r="G216" s="19" t="str">
        <f>IF(ISBLANK('Contactos Agua Celica'!F213)," ","false")</f>
        <v>false</v>
      </c>
      <c r="H216" s="19" t="str">
        <f>IF(ISBLANK('Contactos Agua Celica'!F213)," ","0")</f>
        <v>0</v>
      </c>
      <c r="I216" s="19" t="str">
        <f>IF(ISBLANK('Contactos Agua Celica'!F213)," ","0")</f>
        <v>0</v>
      </c>
    </row>
    <row r="217" spans="1:9" x14ac:dyDescent="0.3">
      <c r="A217" s="19" t="s">
        <v>831</v>
      </c>
      <c r="B217" s="20" t="str">
        <f>IF(ISBLANK('Contactos Agua Celica'!F214),"",'Contactos Agua Celica'!F214)</f>
        <v>Irene</v>
      </c>
      <c r="C217" s="18" t="str">
        <f>IF(ISBLANK('Contactos Agua Celica'!G214),"",'Contactos Agua Celica'!G214)</f>
        <v>+593 99 766 3210</v>
      </c>
      <c r="D217" s="19" t="str">
        <f>IF(ISBLANK('Contactos Agua Celica'!H214),"",MID('Contactos Agua Celica'!H214,1,FIND(",",'Contactos Agua Celica'!H214,1)-1))</f>
        <v/>
      </c>
      <c r="E217" s="19" t="str">
        <f>IF(ISBLANK('Contactos Agua Celica'!H214),"",MID('Contactos Agua Celica'!H214,FIND(",",'Contactos Agua Celica'!H214,1)+1,LEN('Contactos Agua Celica'!H214)))</f>
        <v/>
      </c>
      <c r="F217" s="11" t="s">
        <v>1254</v>
      </c>
      <c r="G217" s="19" t="str">
        <f>IF(ISBLANK('Contactos Agua Celica'!F214)," ","false")</f>
        <v>false</v>
      </c>
      <c r="H217" s="19" t="str">
        <f>IF(ISBLANK('Contactos Agua Celica'!F214)," ","0")</f>
        <v>0</v>
      </c>
      <c r="I217" s="19" t="str">
        <f>IF(ISBLANK('Contactos Agua Celica'!F214)," ","0")</f>
        <v>0</v>
      </c>
    </row>
    <row r="218" spans="1:9" x14ac:dyDescent="0.3">
      <c r="A218" s="19" t="s">
        <v>832</v>
      </c>
      <c r="B218" s="20" t="str">
        <f>IF(ISBLANK('Contactos Agua Celica'!F215),"",'Contactos Agua Celica'!F215)</f>
        <v>Ismael Cruz</v>
      </c>
      <c r="C218" s="18" t="str">
        <f>IF(ISBLANK('Contactos Agua Celica'!G215),"",'Contactos Agua Celica'!G215)</f>
        <v>+593 98 513 7259</v>
      </c>
      <c r="D218" s="19" t="str">
        <f>IF(ISBLANK('Contactos Agua Celica'!H215),"",MID('Contactos Agua Celica'!H215,1,FIND(",",'Contactos Agua Celica'!H215,1)-1))</f>
        <v>-4.100584241286108</v>
      </c>
      <c r="E218" s="19" t="str">
        <f>IF(ISBLANK('Contactos Agua Celica'!H215),"",MID('Contactos Agua Celica'!H215,FIND(",",'Contactos Agua Celica'!H215,1)+1,LEN('Contactos Agua Celica'!H215)))</f>
        <v xml:space="preserve"> -79.95960595265916</v>
      </c>
      <c r="F218" s="11" t="s">
        <v>1267</v>
      </c>
      <c r="G218" s="19" t="str">
        <f>IF(ISBLANK('Contactos Agua Celica'!F215)," ","false")</f>
        <v>false</v>
      </c>
      <c r="H218" s="19" t="str">
        <f>IF(ISBLANK('Contactos Agua Celica'!F215)," ","0")</f>
        <v>0</v>
      </c>
      <c r="I218" s="19" t="str">
        <f>IF(ISBLANK('Contactos Agua Celica'!F215)," ","0")</f>
        <v>0</v>
      </c>
    </row>
    <row r="219" spans="1:9" x14ac:dyDescent="0.3">
      <c r="A219" s="19" t="s">
        <v>833</v>
      </c>
      <c r="B219" s="20" t="str">
        <f>IF(ISBLANK('Contactos Agua Celica'!F216),"",'Contactos Agua Celica'!F216)</f>
        <v>Italo Alvarez</v>
      </c>
      <c r="C219" s="18" t="str">
        <f>IF(ISBLANK('Contactos Agua Celica'!G216),"",'Contactos Agua Celica'!G216)</f>
        <v>+593 99 409 8421</v>
      </c>
      <c r="D219" s="19" t="str">
        <f>IF(ISBLANK('Contactos Agua Celica'!H216),"",MID('Contactos Agua Celica'!H216,1,FIND(",",'Contactos Agua Celica'!H216,1)-1))</f>
        <v>-4.105985789051663</v>
      </c>
      <c r="E219" s="19" t="str">
        <f>IF(ISBLANK('Contactos Agua Celica'!H216),"",MID('Contactos Agua Celica'!H216,FIND(",",'Contactos Agua Celica'!H216,1)+1,LEN('Contactos Agua Celica'!H216)))</f>
        <v xml:space="preserve"> -79.95504073261091</v>
      </c>
      <c r="F219" s="11" t="s">
        <v>1255</v>
      </c>
      <c r="G219" s="19" t="str">
        <f>IF(ISBLANK('Contactos Agua Celica'!F216)," ","false")</f>
        <v>false</v>
      </c>
      <c r="H219" s="19" t="str">
        <f>IF(ISBLANK('Contactos Agua Celica'!F216)," ","0")</f>
        <v>0</v>
      </c>
      <c r="I219" s="19" t="str">
        <f>IF(ISBLANK('Contactos Agua Celica'!F216)," ","0")</f>
        <v>0</v>
      </c>
    </row>
    <row r="220" spans="1:9" x14ac:dyDescent="0.3">
      <c r="A220" s="19" t="s">
        <v>834</v>
      </c>
      <c r="B220" s="20" t="str">
        <f>IF(ISBLANK('Contactos Agua Celica'!F217),"",'Contactos Agua Celica'!F217)</f>
        <v>Italo Alvarez 2</v>
      </c>
      <c r="C220" s="18" t="str">
        <f>IF(ISBLANK('Contactos Agua Celica'!G217),"",'Contactos Agua Celica'!G217)</f>
        <v>+593 99 160 5792</v>
      </c>
      <c r="D220" s="19" t="str">
        <f>IF(ISBLANK('Contactos Agua Celica'!H217),"",MID('Contactos Agua Celica'!H217,1,FIND(",",'Contactos Agua Celica'!H217,1)-1))</f>
        <v>-4.105985789051663</v>
      </c>
      <c r="E220" s="19" t="str">
        <f>IF(ISBLANK('Contactos Agua Celica'!H217),"",MID('Contactos Agua Celica'!H217,FIND(",",'Contactos Agua Celica'!H217,1)+1,LEN('Contactos Agua Celica'!H217)))</f>
        <v xml:space="preserve"> -79.95504073261091</v>
      </c>
      <c r="F220" s="11" t="s">
        <v>1257</v>
      </c>
      <c r="G220" s="19" t="str">
        <f>IF(ISBLANK('Contactos Agua Celica'!F217)," ","false")</f>
        <v>false</v>
      </c>
      <c r="H220" s="19" t="str">
        <f>IF(ISBLANK('Contactos Agua Celica'!F217)," ","0")</f>
        <v>0</v>
      </c>
      <c r="I220" s="19" t="str">
        <f>IF(ISBLANK('Contactos Agua Celica'!F217)," ","0")</f>
        <v>0</v>
      </c>
    </row>
    <row r="221" spans="1:9" x14ac:dyDescent="0.3">
      <c r="A221" s="19" t="s">
        <v>835</v>
      </c>
      <c r="B221" s="20" t="str">
        <f>IF(ISBLANK('Contactos Agua Celica'!F218),"",'Contactos Agua Celica'!F218)</f>
        <v>Iván Buele</v>
      </c>
      <c r="C221" s="18" t="str">
        <f>IF(ISBLANK('Contactos Agua Celica'!G218),"",'Contactos Agua Celica'!G218)</f>
        <v>+593 99 435 0561</v>
      </c>
      <c r="D221" s="19" t="str">
        <f>IF(ISBLANK('Contactos Agua Celica'!H218),"",MID('Contactos Agua Celica'!H218,1,FIND(",",'Contactos Agua Celica'!H218,1)-1))</f>
        <v>-4.101756813114653</v>
      </c>
      <c r="E221" s="19" t="str">
        <f>IF(ISBLANK('Contactos Agua Celica'!H218),"",MID('Contactos Agua Celica'!H218,FIND(",",'Contactos Agua Celica'!H218,1)+1,LEN('Contactos Agua Celica'!H218)))</f>
        <v xml:space="preserve"> -79.95538490732288</v>
      </c>
      <c r="F221" s="11" t="s">
        <v>1267</v>
      </c>
      <c r="G221" s="19" t="str">
        <f>IF(ISBLANK('Contactos Agua Celica'!F218)," ","false")</f>
        <v>false</v>
      </c>
      <c r="H221" s="19" t="str">
        <f>IF(ISBLANK('Contactos Agua Celica'!F218)," ","0")</f>
        <v>0</v>
      </c>
      <c r="I221" s="19" t="str">
        <f>IF(ISBLANK('Contactos Agua Celica'!F218)," ","0")</f>
        <v>0</v>
      </c>
    </row>
    <row r="222" spans="1:9" x14ac:dyDescent="0.3">
      <c r="A222" s="19" t="s">
        <v>836</v>
      </c>
      <c r="B222" s="20" t="str">
        <f>IF(ISBLANK('Contactos Agua Celica'!F219),"",'Contactos Agua Celica'!F219)</f>
        <v>Ivan Elizalde</v>
      </c>
      <c r="C222" s="18" t="str">
        <f>IF(ISBLANK('Contactos Agua Celica'!G219),"",'Contactos Agua Celica'!G219)</f>
        <v>+593 93 915 3513</v>
      </c>
      <c r="D222" s="19" t="str">
        <f>IF(ISBLANK('Contactos Agua Celica'!H219),"",MID('Contactos Agua Celica'!H219,1,FIND(",",'Contactos Agua Celica'!H219,1)-1))</f>
        <v>-4.102305089686583</v>
      </c>
      <c r="E222" s="19" t="str">
        <f>IF(ISBLANK('Contactos Agua Celica'!H219),"",MID('Contactos Agua Celica'!H219,FIND(",",'Contactos Agua Celica'!H219,1)+1,LEN('Contactos Agua Celica'!H219)))</f>
        <v xml:space="preserve"> -79.95327738152828</v>
      </c>
      <c r="F222" s="11" t="s">
        <v>1260</v>
      </c>
      <c r="G222" s="19" t="str">
        <f>IF(ISBLANK('Contactos Agua Celica'!F219)," ","false")</f>
        <v>false</v>
      </c>
      <c r="H222" s="19" t="str">
        <f>IF(ISBLANK('Contactos Agua Celica'!F219)," ","0")</f>
        <v>0</v>
      </c>
      <c r="I222" s="19" t="str">
        <f>IF(ISBLANK('Contactos Agua Celica'!F219)," ","0")</f>
        <v>0</v>
      </c>
    </row>
    <row r="223" spans="1:9" x14ac:dyDescent="0.3">
      <c r="A223" s="19" t="s">
        <v>837</v>
      </c>
      <c r="B223" s="20" t="str">
        <f>IF(ISBLANK('Contactos Agua Celica'!F220),"",'Contactos Agua Celica'!F220)</f>
        <v>Ivan Peralta</v>
      </c>
      <c r="C223" s="18" t="str">
        <f>IF(ISBLANK('Contactos Agua Celica'!G220),"",'Contactos Agua Celica'!G220)</f>
        <v>+593 99 241 3411</v>
      </c>
      <c r="D223" s="19" t="str">
        <f>IF(ISBLANK('Contactos Agua Celica'!H220),"",MID('Contactos Agua Celica'!H220,1,FIND(",",'Contactos Agua Celica'!H220,1)-1))</f>
        <v/>
      </c>
      <c r="E223" s="19" t="str">
        <f>IF(ISBLANK('Contactos Agua Celica'!H220),"",MID('Contactos Agua Celica'!H220,FIND(",",'Contactos Agua Celica'!H220,1)+1,LEN('Contactos Agua Celica'!H220)))</f>
        <v/>
      </c>
      <c r="F223" s="11" t="s">
        <v>1257</v>
      </c>
      <c r="G223" s="19" t="str">
        <f>IF(ISBLANK('Contactos Agua Celica'!F220)," ","false")</f>
        <v>false</v>
      </c>
      <c r="H223" s="19" t="str">
        <f>IF(ISBLANK('Contactos Agua Celica'!F220)," ","0")</f>
        <v>0</v>
      </c>
      <c r="I223" s="19" t="str">
        <f>IF(ISBLANK('Contactos Agua Celica'!F220)," ","0")</f>
        <v>0</v>
      </c>
    </row>
    <row r="224" spans="1:9" x14ac:dyDescent="0.3">
      <c r="A224" s="19" t="s">
        <v>838</v>
      </c>
      <c r="B224" s="20" t="str">
        <f>IF(ISBLANK('Contactos Agua Celica'!F221),"",'Contactos Agua Celica'!F221)</f>
        <v>Jeanpier Albear</v>
      </c>
      <c r="C224" s="18" t="str">
        <f>IF(ISBLANK('Contactos Agua Celica'!G221),"",'Contactos Agua Celica'!G221)</f>
        <v>+593 99 302 5600</v>
      </c>
      <c r="D224" s="19" t="str">
        <f>IF(ISBLANK('Contactos Agua Celica'!H221),"",MID('Contactos Agua Celica'!H221,1,FIND(",",'Contactos Agua Celica'!H221,1)-1))</f>
        <v/>
      </c>
      <c r="E224" s="19" t="str">
        <f>IF(ISBLANK('Contactos Agua Celica'!H221),"",MID('Contactos Agua Celica'!H221,FIND(",",'Contactos Agua Celica'!H221,1)+1,LEN('Contactos Agua Celica'!H221)))</f>
        <v/>
      </c>
      <c r="F224" s="11" t="s">
        <v>1267</v>
      </c>
      <c r="G224" s="19" t="str">
        <f>IF(ISBLANK('Contactos Agua Celica'!F221)," ","false")</f>
        <v>false</v>
      </c>
      <c r="H224" s="19" t="str">
        <f>IF(ISBLANK('Contactos Agua Celica'!F221)," ","0")</f>
        <v>0</v>
      </c>
      <c r="I224" s="19" t="str">
        <f>IF(ISBLANK('Contactos Agua Celica'!F221)," ","0")</f>
        <v>0</v>
      </c>
    </row>
    <row r="225" spans="1:9" x14ac:dyDescent="0.3">
      <c r="A225" s="19" t="s">
        <v>839</v>
      </c>
      <c r="B225" s="20" t="str">
        <f>IF(ISBLANK('Contactos Agua Celica'!F222),"",'Contactos Agua Celica'!F222)</f>
        <v>Jeni Valdivieso</v>
      </c>
      <c r="C225" s="18" t="str">
        <f>IF(ISBLANK('Contactos Agua Celica'!G222),"",'Contactos Agua Celica'!G222)</f>
        <v>0958809388</v>
      </c>
      <c r="D225" s="19" t="str">
        <f>IF(ISBLANK('Contactos Agua Celica'!H222),"",MID('Contactos Agua Celica'!H222,1,FIND(",",'Contactos Agua Celica'!H222,1)-1))</f>
        <v>-4.099320845764839</v>
      </c>
      <c r="E225" s="19" t="str">
        <f>IF(ISBLANK('Contactos Agua Celica'!H222),"",MID('Contactos Agua Celica'!H222,FIND(",",'Contactos Agua Celica'!H222,1)+1,LEN('Contactos Agua Celica'!H222)))</f>
        <v xml:space="preserve"> -79.95718552460771</v>
      </c>
      <c r="F225" s="11" t="s">
        <v>1267</v>
      </c>
      <c r="G225" s="19" t="str">
        <f>IF(ISBLANK('Contactos Agua Celica'!F222)," ","false")</f>
        <v>false</v>
      </c>
      <c r="H225" s="19" t="str">
        <f>IF(ISBLANK('Contactos Agua Celica'!F222)," ","0")</f>
        <v>0</v>
      </c>
      <c r="I225" s="19" t="str">
        <f>IF(ISBLANK('Contactos Agua Celica'!F222)," ","0")</f>
        <v>0</v>
      </c>
    </row>
    <row r="226" spans="1:9" x14ac:dyDescent="0.3">
      <c r="A226" s="19" t="s">
        <v>840</v>
      </c>
      <c r="B226" s="20" t="str">
        <f>IF(ISBLANK('Contactos Agua Celica'!F223),"",'Contactos Agua Celica'!F223)</f>
        <v>Jeniffer Reyes</v>
      </c>
      <c r="C226" s="18" t="str">
        <f>IF(ISBLANK('Contactos Agua Celica'!G223),"",'Contactos Agua Celica'!G223)</f>
        <v>+593 95 997 1053</v>
      </c>
      <c r="D226" s="19" t="str">
        <f>IF(ISBLANK('Contactos Agua Celica'!H223),"",MID('Contactos Agua Celica'!H223,1,FIND(",",'Contactos Agua Celica'!H223,1)-1))</f>
        <v>-4.098253647254874</v>
      </c>
      <c r="E226" s="19" t="str">
        <f>IF(ISBLANK('Contactos Agua Celica'!H223),"",MID('Contactos Agua Celica'!H223,FIND(",",'Contactos Agua Celica'!H223,1)+1,LEN('Contactos Agua Celica'!H223)))</f>
        <v xml:space="preserve"> -79.95969518925628</v>
      </c>
      <c r="F226" s="11" t="s">
        <v>1256</v>
      </c>
      <c r="G226" s="19" t="str">
        <f>IF(ISBLANK('Contactos Agua Celica'!F223)," ","false")</f>
        <v>false</v>
      </c>
      <c r="H226" s="19" t="str">
        <f>IF(ISBLANK('Contactos Agua Celica'!F223)," ","0")</f>
        <v>0</v>
      </c>
      <c r="I226" s="19" t="str">
        <f>IF(ISBLANK('Contactos Agua Celica'!F223)," ","0")</f>
        <v>0</v>
      </c>
    </row>
    <row r="227" spans="1:9" x14ac:dyDescent="0.3">
      <c r="A227" s="19" t="s">
        <v>841</v>
      </c>
      <c r="B227" s="20" t="str">
        <f>IF(ISBLANK('Contactos Agua Celica'!F224),"",'Contactos Agua Celica'!F224)</f>
        <v>Jenny Casti Loja</v>
      </c>
      <c r="C227" s="18" t="str">
        <f>IF(ISBLANK('Contactos Agua Celica'!G224),"",'Contactos Agua Celica'!G224)</f>
        <v>0982562540</v>
      </c>
      <c r="D227" s="19" t="str">
        <f>IF(ISBLANK('Contactos Agua Celica'!H224),"",MID('Contactos Agua Celica'!H224,1,FIND(",",'Contactos Agua Celica'!H224,1)-1))</f>
        <v/>
      </c>
      <c r="E227" s="19" t="str">
        <f>IF(ISBLANK('Contactos Agua Celica'!H224),"",MID('Contactos Agua Celica'!H224,FIND(",",'Contactos Agua Celica'!H224,1)+1,LEN('Contactos Agua Celica'!H224)))</f>
        <v/>
      </c>
      <c r="F227" s="11" t="s">
        <v>1267</v>
      </c>
      <c r="G227" s="19" t="str">
        <f>IF(ISBLANK('Contactos Agua Celica'!F224)," ","false")</f>
        <v>false</v>
      </c>
      <c r="H227" s="19" t="str">
        <f>IF(ISBLANK('Contactos Agua Celica'!F224)," ","0")</f>
        <v>0</v>
      </c>
      <c r="I227" s="19" t="str">
        <f>IF(ISBLANK('Contactos Agua Celica'!F224)," ","0")</f>
        <v>0</v>
      </c>
    </row>
    <row r="228" spans="1:9" x14ac:dyDescent="0.3">
      <c r="A228" s="19" t="s">
        <v>842</v>
      </c>
      <c r="B228" s="20" t="str">
        <f>IF(ISBLANK('Contactos Agua Celica'!F225),"",'Contactos Agua Celica'!F225)</f>
        <v>Jenny Pulluguari</v>
      </c>
      <c r="C228" s="18" t="str">
        <f>IF(ISBLANK('Contactos Agua Celica'!G225),"",'Contactos Agua Celica'!G225)</f>
        <v>+593 99 701 6563</v>
      </c>
      <c r="D228" s="19" t="str">
        <f>IF(ISBLANK('Contactos Agua Celica'!H225),"",MID('Contactos Agua Celica'!H225,1,FIND(",",'Contactos Agua Celica'!H225,1)-1))</f>
        <v/>
      </c>
      <c r="E228" s="19" t="str">
        <f>IF(ISBLANK('Contactos Agua Celica'!H225),"",MID('Contactos Agua Celica'!H225,FIND(",",'Contactos Agua Celica'!H225,1)+1,LEN('Contactos Agua Celica'!H225)))</f>
        <v/>
      </c>
      <c r="F228" s="11" t="s">
        <v>1257</v>
      </c>
      <c r="G228" s="19" t="str">
        <f>IF(ISBLANK('Contactos Agua Celica'!F225)," ","false")</f>
        <v>false</v>
      </c>
      <c r="H228" s="19" t="str">
        <f>IF(ISBLANK('Contactos Agua Celica'!F225)," ","0")</f>
        <v>0</v>
      </c>
      <c r="I228" s="19" t="str">
        <f>IF(ISBLANK('Contactos Agua Celica'!F225)," ","0")</f>
        <v>0</v>
      </c>
    </row>
    <row r="229" spans="1:9" x14ac:dyDescent="0.3">
      <c r="A229" s="19" t="s">
        <v>843</v>
      </c>
      <c r="B229" s="20" t="str">
        <f>IF(ISBLANK('Contactos Agua Celica'!F226),"",'Contactos Agua Celica'!F226)</f>
        <v>Jenny Reyes</v>
      </c>
      <c r="C229" s="18" t="str">
        <f>IF(ISBLANK('Contactos Agua Celica'!G226),"",'Contactos Agua Celica'!G226)</f>
        <v>098 122 6363</v>
      </c>
      <c r="D229" s="19" t="str">
        <f>IF(ISBLANK('Contactos Agua Celica'!H226),"",MID('Contactos Agua Celica'!H226,1,FIND(",",'Contactos Agua Celica'!H226,1)-1))</f>
        <v>-4.099320845764839</v>
      </c>
      <c r="E229" s="19" t="str">
        <f>IF(ISBLANK('Contactos Agua Celica'!H226),"",MID('Contactos Agua Celica'!H226,FIND(",",'Contactos Agua Celica'!H226,1)+1,LEN('Contactos Agua Celica'!H226)))</f>
        <v xml:space="preserve"> -79.95718552460771</v>
      </c>
      <c r="F229" s="11" t="s">
        <v>1267</v>
      </c>
      <c r="G229" s="19" t="str">
        <f>IF(ISBLANK('Contactos Agua Celica'!F226)," ","false")</f>
        <v>false</v>
      </c>
      <c r="H229" s="19" t="str">
        <f>IF(ISBLANK('Contactos Agua Celica'!F226)," ","0")</f>
        <v>0</v>
      </c>
      <c r="I229" s="19" t="str">
        <f>IF(ISBLANK('Contactos Agua Celica'!F226)," ","0")</f>
        <v>0</v>
      </c>
    </row>
    <row r="230" spans="1:9" x14ac:dyDescent="0.3">
      <c r="A230" s="19" t="s">
        <v>844</v>
      </c>
      <c r="B230" s="20" t="str">
        <f>IF(ISBLANK('Contactos Agua Celica'!F227),"",'Contactos Agua Celica'!F227)</f>
        <v>Jesenia Gutiérrez</v>
      </c>
      <c r="C230" s="18" t="str">
        <f>IF(ISBLANK('Contactos Agua Celica'!G227),"",'Contactos Agua Celica'!G227)</f>
        <v>+593 98 857 7138</v>
      </c>
      <c r="D230" s="19" t="str">
        <f>IF(ISBLANK('Contactos Agua Celica'!H227),"",MID('Contactos Agua Celica'!H227,1,FIND(",",'Contactos Agua Celica'!H227,1)-1))</f>
        <v/>
      </c>
      <c r="E230" s="19" t="str">
        <f>IF(ISBLANK('Contactos Agua Celica'!H227),"",MID('Contactos Agua Celica'!H227,FIND(",",'Contactos Agua Celica'!H227,1)+1,LEN('Contactos Agua Celica'!H227)))</f>
        <v/>
      </c>
      <c r="F230" s="11" t="s">
        <v>1260</v>
      </c>
      <c r="G230" s="19" t="str">
        <f>IF(ISBLANK('Contactos Agua Celica'!F227)," ","false")</f>
        <v>false</v>
      </c>
      <c r="H230" s="19" t="str">
        <f>IF(ISBLANK('Contactos Agua Celica'!F227)," ","0")</f>
        <v>0</v>
      </c>
      <c r="I230" s="19" t="str">
        <f>IF(ISBLANK('Contactos Agua Celica'!F227)," ","0")</f>
        <v>0</v>
      </c>
    </row>
    <row r="231" spans="1:9" x14ac:dyDescent="0.3">
      <c r="A231" s="19" t="s">
        <v>845</v>
      </c>
      <c r="B231" s="20" t="str">
        <f>IF(ISBLANK('Contactos Agua Celica'!F228),"",'Contactos Agua Celica'!F228)</f>
        <v>Jessica Torres</v>
      </c>
      <c r="C231" s="18" t="str">
        <f>IF(ISBLANK('Contactos Agua Celica'!G228),"",'Contactos Agua Celica'!G228)</f>
        <v>+593 98 826 9370</v>
      </c>
      <c r="D231" s="19" t="str">
        <f>IF(ISBLANK('Contactos Agua Celica'!H228),"",MID('Contactos Agua Celica'!H228,1,FIND(",",'Contactos Agua Celica'!H228,1)-1))</f>
        <v/>
      </c>
      <c r="E231" s="19" t="str">
        <f>IF(ISBLANK('Contactos Agua Celica'!H228),"",MID('Contactos Agua Celica'!H228,FIND(",",'Contactos Agua Celica'!H228,1)+1,LEN('Contactos Agua Celica'!H228)))</f>
        <v/>
      </c>
      <c r="F231" s="11" t="s">
        <v>1267</v>
      </c>
      <c r="G231" s="19" t="str">
        <f>IF(ISBLANK('Contactos Agua Celica'!F228)," ","false")</f>
        <v>false</v>
      </c>
      <c r="H231" s="19" t="str">
        <f>IF(ISBLANK('Contactos Agua Celica'!F228)," ","0")</f>
        <v>0</v>
      </c>
      <c r="I231" s="19" t="str">
        <f>IF(ISBLANK('Contactos Agua Celica'!F228)," ","0")</f>
        <v>0</v>
      </c>
    </row>
    <row r="232" spans="1:9" x14ac:dyDescent="0.3">
      <c r="A232" s="19" t="s">
        <v>846</v>
      </c>
      <c r="B232" s="20" t="str">
        <f>IF(ISBLANK('Contactos Agua Celica'!F229),"",'Contactos Agua Celica'!F229)</f>
        <v>Jhoa Chuquimarca</v>
      </c>
      <c r="C232" s="18" t="str">
        <f>IF(ISBLANK('Contactos Agua Celica'!G229),"",'Contactos Agua Celica'!G229)</f>
        <v>+593 99 614 5388</v>
      </c>
      <c r="D232" s="19" t="str">
        <f>IF(ISBLANK('Contactos Agua Celica'!H229),"",MID('Contactos Agua Celica'!H229,1,FIND(",",'Contactos Agua Celica'!H229,1)-1))</f>
        <v/>
      </c>
      <c r="E232" s="19" t="str">
        <f>IF(ISBLANK('Contactos Agua Celica'!H229),"",MID('Contactos Agua Celica'!H229,FIND(",",'Contactos Agua Celica'!H229,1)+1,LEN('Contactos Agua Celica'!H229)))</f>
        <v/>
      </c>
      <c r="F232" s="11" t="s">
        <v>1260</v>
      </c>
      <c r="G232" s="19" t="str">
        <f>IF(ISBLANK('Contactos Agua Celica'!F229)," ","false")</f>
        <v>false</v>
      </c>
      <c r="H232" s="19" t="str">
        <f>IF(ISBLANK('Contactos Agua Celica'!F229)," ","0")</f>
        <v>0</v>
      </c>
      <c r="I232" s="19" t="str">
        <f>IF(ISBLANK('Contactos Agua Celica'!F229)," ","0")</f>
        <v>0</v>
      </c>
    </row>
    <row r="233" spans="1:9" x14ac:dyDescent="0.3">
      <c r="A233" s="19" t="s">
        <v>847</v>
      </c>
      <c r="B233" s="20" t="str">
        <f>IF(ISBLANK('Contactos Agua Celica'!F230),"",'Contactos Agua Celica'!F230)</f>
        <v>Joe Torres</v>
      </c>
      <c r="C233" s="18" t="str">
        <f>IF(ISBLANK('Contactos Agua Celica'!G230),"",'Contactos Agua Celica'!G230)</f>
        <v>+593 99 334 5753</v>
      </c>
      <c r="D233" s="19" t="str">
        <f>IF(ISBLANK('Contactos Agua Celica'!H230),"",MID('Contactos Agua Celica'!H230,1,FIND(",",'Contactos Agua Celica'!H230,1)-1))</f>
        <v>-4.1034612204125365</v>
      </c>
      <c r="E233" s="19" t="str">
        <f>IF(ISBLANK('Contactos Agua Celica'!H230),"",MID('Contactos Agua Celica'!H230,FIND(",",'Contactos Agua Celica'!H230,1)+1,LEN('Contactos Agua Celica'!H230)))</f>
        <v xml:space="preserve"> -79.95378494728017</v>
      </c>
      <c r="F233" s="11" t="s">
        <v>1267</v>
      </c>
      <c r="G233" s="19" t="str">
        <f>IF(ISBLANK('Contactos Agua Celica'!F230)," ","false")</f>
        <v>false</v>
      </c>
      <c r="H233" s="19" t="str">
        <f>IF(ISBLANK('Contactos Agua Celica'!F230)," ","0")</f>
        <v>0</v>
      </c>
      <c r="I233" s="19" t="str">
        <f>IF(ISBLANK('Contactos Agua Celica'!F230)," ","0")</f>
        <v>0</v>
      </c>
    </row>
    <row r="234" spans="1:9" x14ac:dyDescent="0.3">
      <c r="A234" s="19" t="s">
        <v>848</v>
      </c>
      <c r="B234" s="20" t="str">
        <f>IF(ISBLANK('Contactos Agua Celica'!F231),"",'Contactos Agua Celica'!F231)</f>
        <v>Johana Sandoya</v>
      </c>
      <c r="C234" s="18" t="str">
        <f>IF(ISBLANK('Contactos Agua Celica'!G231),"",'Contactos Agua Celica'!G231)</f>
        <v>+593 98 348 3200</v>
      </c>
      <c r="D234" s="19" t="str">
        <f>IF(ISBLANK('Contactos Agua Celica'!H231),"",MID('Contactos Agua Celica'!H231,1,FIND(",",'Contactos Agua Celica'!H231,1)-1))</f>
        <v/>
      </c>
      <c r="E234" s="19" t="str">
        <f>IF(ISBLANK('Contactos Agua Celica'!H231),"",MID('Contactos Agua Celica'!H231,FIND(",",'Contactos Agua Celica'!H231,1)+1,LEN('Contactos Agua Celica'!H231)))</f>
        <v/>
      </c>
      <c r="F234" s="11" t="s">
        <v>1268</v>
      </c>
      <c r="G234" s="19" t="str">
        <f>IF(ISBLANK('Contactos Agua Celica'!F231)," ","false")</f>
        <v>false</v>
      </c>
      <c r="H234" s="19" t="str">
        <f>IF(ISBLANK('Contactos Agua Celica'!F231)," ","0")</f>
        <v>0</v>
      </c>
      <c r="I234" s="19" t="str">
        <f>IF(ISBLANK('Contactos Agua Celica'!F231)," ","0")</f>
        <v>0</v>
      </c>
    </row>
    <row r="235" spans="1:9" x14ac:dyDescent="0.3">
      <c r="A235" s="19" t="s">
        <v>849</v>
      </c>
      <c r="B235" s="20" t="str">
        <f>IF(ISBLANK('Contactos Agua Celica'!F232),"",'Contactos Agua Celica'!F232)</f>
        <v>Jonathan Chamba</v>
      </c>
      <c r="C235" s="18" t="str">
        <f>IF(ISBLANK('Contactos Agua Celica'!G232),"",'Contactos Agua Celica'!G232)</f>
        <v>+593 98 804 8482</v>
      </c>
      <c r="D235" s="19" t="str">
        <f>IF(ISBLANK('Contactos Agua Celica'!H232),"",MID('Contactos Agua Celica'!H232,1,FIND(",",'Contactos Agua Celica'!H232,1)-1))</f>
        <v/>
      </c>
      <c r="E235" s="19" t="str">
        <f>IF(ISBLANK('Contactos Agua Celica'!H232),"",MID('Contactos Agua Celica'!H232,FIND(",",'Contactos Agua Celica'!H232,1)+1,LEN('Contactos Agua Celica'!H232)))</f>
        <v/>
      </c>
      <c r="F235" s="11" t="s">
        <v>1263</v>
      </c>
      <c r="G235" s="19" t="str">
        <f>IF(ISBLANK('Contactos Agua Celica'!F232)," ","false")</f>
        <v>false</v>
      </c>
      <c r="H235" s="19" t="str">
        <f>IF(ISBLANK('Contactos Agua Celica'!F232)," ","0")</f>
        <v>0</v>
      </c>
      <c r="I235" s="19" t="str">
        <f>IF(ISBLANK('Contactos Agua Celica'!F232)," ","0")</f>
        <v>0</v>
      </c>
    </row>
    <row r="236" spans="1:9" x14ac:dyDescent="0.3">
      <c r="A236" s="19" t="s">
        <v>850</v>
      </c>
      <c r="B236" s="20" t="str">
        <f>IF(ISBLANK('Contactos Agua Celica'!F233),"",'Contactos Agua Celica'!F233)</f>
        <v>Jorge Jaramillo</v>
      </c>
      <c r="C236" s="18" t="str">
        <f>IF(ISBLANK('Contactos Agua Celica'!G233),"",'Contactos Agua Celica'!G233)</f>
        <v>+593996143398</v>
      </c>
      <c r="D236" s="19" t="str">
        <f>IF(ISBLANK('Contactos Agua Celica'!H233),"",MID('Contactos Agua Celica'!H233,1,FIND(",",'Contactos Agua Celica'!H233,1)-1))</f>
        <v>-4.0989861829261525</v>
      </c>
      <c r="E236" s="19" t="str">
        <f>IF(ISBLANK('Contactos Agua Celica'!H233),"",MID('Contactos Agua Celica'!H233,FIND(",",'Contactos Agua Celica'!H233,1)+1,LEN('Contactos Agua Celica'!H233)))</f>
        <v xml:space="preserve"> -79.95731326571939</v>
      </c>
      <c r="F236" s="11" t="s">
        <v>1267</v>
      </c>
      <c r="G236" s="19" t="str">
        <f>IF(ISBLANK('Contactos Agua Celica'!F233)," ","false")</f>
        <v>false</v>
      </c>
      <c r="H236" s="19" t="str">
        <f>IF(ISBLANK('Contactos Agua Celica'!F233)," ","0")</f>
        <v>0</v>
      </c>
      <c r="I236" s="19" t="str">
        <f>IF(ISBLANK('Contactos Agua Celica'!F233)," ","0")</f>
        <v>0</v>
      </c>
    </row>
    <row r="237" spans="1:9" x14ac:dyDescent="0.3">
      <c r="A237" s="19" t="s">
        <v>851</v>
      </c>
      <c r="B237" s="20" t="str">
        <f>IF(ISBLANK('Contactos Agua Celica'!F234),"",'Contactos Agua Celica'!F234)</f>
        <v>Jorge Luna</v>
      </c>
      <c r="C237" s="18" t="str">
        <f>IF(ISBLANK('Contactos Agua Celica'!G234),"",'Contactos Agua Celica'!G234)</f>
        <v>+593 93 915 1797</v>
      </c>
      <c r="D237" s="19" t="str">
        <f>IF(ISBLANK('Contactos Agua Celica'!H234),"",MID('Contactos Agua Celica'!H234,1,FIND(",",'Contactos Agua Celica'!H234,1)-1))</f>
        <v/>
      </c>
      <c r="E237" s="19" t="str">
        <f>IF(ISBLANK('Contactos Agua Celica'!H234),"",MID('Contactos Agua Celica'!H234,FIND(",",'Contactos Agua Celica'!H234,1)+1,LEN('Contactos Agua Celica'!H234)))</f>
        <v/>
      </c>
      <c r="F237" s="11" t="s">
        <v>1262</v>
      </c>
      <c r="G237" s="19" t="str">
        <f>IF(ISBLANK('Contactos Agua Celica'!F234)," ","false")</f>
        <v>false</v>
      </c>
      <c r="H237" s="19" t="str">
        <f>IF(ISBLANK('Contactos Agua Celica'!F234)," ","0")</f>
        <v>0</v>
      </c>
      <c r="I237" s="19" t="str">
        <f>IF(ISBLANK('Contactos Agua Celica'!F234)," ","0")</f>
        <v>0</v>
      </c>
    </row>
    <row r="238" spans="1:9" x14ac:dyDescent="0.3">
      <c r="A238" s="19" t="s">
        <v>852</v>
      </c>
      <c r="B238" s="20" t="str">
        <f>IF(ISBLANK('Contactos Agua Celica'!F235),"",'Contactos Agua Celica'!F235)</f>
        <v>Jorge Sanchez</v>
      </c>
      <c r="C238" s="18" t="str">
        <f>IF(ISBLANK('Contactos Agua Celica'!G235),"",'Contactos Agua Celica'!G235)</f>
        <v>+593 98 689 6812</v>
      </c>
      <c r="D238" s="19" t="str">
        <f>IF(ISBLANK('Contactos Agua Celica'!H235),"",MID('Contactos Agua Celica'!H235,1,FIND(",",'Contactos Agua Celica'!H235,1)-1))</f>
        <v/>
      </c>
      <c r="E238" s="19" t="str">
        <f>IF(ISBLANK('Contactos Agua Celica'!H235),"",MID('Contactos Agua Celica'!H235,FIND(",",'Contactos Agua Celica'!H235,1)+1,LEN('Contactos Agua Celica'!H235)))</f>
        <v/>
      </c>
      <c r="F238" s="11" t="s">
        <v>1258</v>
      </c>
      <c r="G238" s="19" t="str">
        <f>IF(ISBLANK('Contactos Agua Celica'!F235)," ","false")</f>
        <v>false</v>
      </c>
      <c r="H238" s="19" t="str">
        <f>IF(ISBLANK('Contactos Agua Celica'!F235)," ","0")</f>
        <v>0</v>
      </c>
      <c r="I238" s="19" t="str">
        <f>IF(ISBLANK('Contactos Agua Celica'!F235)," ","0")</f>
        <v>0</v>
      </c>
    </row>
    <row r="239" spans="1:9" x14ac:dyDescent="0.3">
      <c r="A239" s="19" t="s">
        <v>853</v>
      </c>
      <c r="B239" s="20" t="str">
        <f>IF(ISBLANK('Contactos Agua Celica'!F236),"",'Contactos Agua Celica'!F236)</f>
        <v>Jorge Sánchez Sabanilla</v>
      </c>
      <c r="C239" s="18" t="str">
        <f>IF(ISBLANK('Contactos Agua Celica'!G236),"",'Contactos Agua Celica'!G236)</f>
        <v>+593 93 978 4514</v>
      </c>
      <c r="D239" s="19" t="str">
        <f>IF(ISBLANK('Contactos Agua Celica'!H236),"",MID('Contactos Agua Celica'!H236,1,FIND(",",'Contactos Agua Celica'!H236,1)-1))</f>
        <v/>
      </c>
      <c r="E239" s="19" t="str">
        <f>IF(ISBLANK('Contactos Agua Celica'!H236),"",MID('Contactos Agua Celica'!H236,FIND(",",'Contactos Agua Celica'!H236,1)+1,LEN('Contactos Agua Celica'!H236)))</f>
        <v/>
      </c>
      <c r="F239" s="11" t="s">
        <v>1258</v>
      </c>
      <c r="G239" s="19" t="str">
        <f>IF(ISBLANK('Contactos Agua Celica'!F236)," ","false")</f>
        <v>false</v>
      </c>
      <c r="H239" s="19" t="str">
        <f>IF(ISBLANK('Contactos Agua Celica'!F236)," ","0")</f>
        <v>0</v>
      </c>
      <c r="I239" s="19" t="str">
        <f>IF(ISBLANK('Contactos Agua Celica'!F236)," ","0")</f>
        <v>0</v>
      </c>
    </row>
    <row r="240" spans="1:9" x14ac:dyDescent="0.3">
      <c r="A240" s="19" t="s">
        <v>854</v>
      </c>
      <c r="B240" s="20" t="str">
        <f>IF(ISBLANK('Contactos Agua Celica'!F237),"",'Contactos Agua Celica'!F237)</f>
        <v>José Atre</v>
      </c>
      <c r="C240" s="18" t="str">
        <f>IF(ISBLANK('Contactos Agua Celica'!G237),"",'Contactos Agua Celica'!G237)</f>
        <v>096 918 6856</v>
      </c>
      <c r="D240" s="19" t="str">
        <f>IF(ISBLANK('Contactos Agua Celica'!H237),"",MID('Contactos Agua Celica'!H237,1,FIND(",",'Contactos Agua Celica'!H237,1)-1))</f>
        <v/>
      </c>
      <c r="E240" s="19" t="str">
        <f>IF(ISBLANK('Contactos Agua Celica'!H237),"",MID('Contactos Agua Celica'!H237,FIND(",",'Contactos Agua Celica'!H237,1)+1,LEN('Contactos Agua Celica'!H237)))</f>
        <v/>
      </c>
      <c r="F240" s="11" t="s">
        <v>1267</v>
      </c>
      <c r="G240" s="19" t="str">
        <f>IF(ISBLANK('Contactos Agua Celica'!F237)," ","false")</f>
        <v>false</v>
      </c>
      <c r="H240" s="19" t="str">
        <f>IF(ISBLANK('Contactos Agua Celica'!F237)," ","0")</f>
        <v>0</v>
      </c>
      <c r="I240" s="19" t="str">
        <f>IF(ISBLANK('Contactos Agua Celica'!F237)," ","0")</f>
        <v>0</v>
      </c>
    </row>
    <row r="241" spans="1:9" x14ac:dyDescent="0.3">
      <c r="A241" s="19" t="s">
        <v>855</v>
      </c>
      <c r="B241" s="20" t="str">
        <f>IF(ISBLANK('Contactos Agua Celica'!F238),"",'Contactos Agua Celica'!F238)</f>
        <v>Jose Btte</v>
      </c>
      <c r="C241" s="18" t="str">
        <f>IF(ISBLANK('Contactos Agua Celica'!G238),"",'Contactos Agua Celica'!G238)</f>
        <v>+593 99 739 2062</v>
      </c>
      <c r="D241" s="19" t="str">
        <f>IF(ISBLANK('Contactos Agua Celica'!H238),"",MID('Contactos Agua Celica'!H238,1,FIND(",",'Contactos Agua Celica'!H238,1)-1))</f>
        <v/>
      </c>
      <c r="E241" s="19" t="str">
        <f>IF(ISBLANK('Contactos Agua Celica'!H238),"",MID('Contactos Agua Celica'!H238,FIND(",",'Contactos Agua Celica'!H238,1)+1,LEN('Contactos Agua Celica'!H238)))</f>
        <v/>
      </c>
      <c r="F241" s="11" t="s">
        <v>1262</v>
      </c>
      <c r="G241" s="19" t="str">
        <f>IF(ISBLANK('Contactos Agua Celica'!F238)," ","false")</f>
        <v>false</v>
      </c>
      <c r="H241" s="19" t="str">
        <f>IF(ISBLANK('Contactos Agua Celica'!F238)," ","0")</f>
        <v>0</v>
      </c>
      <c r="I241" s="19" t="str">
        <f>IF(ISBLANK('Contactos Agua Celica'!F238)," ","0")</f>
        <v>0</v>
      </c>
    </row>
    <row r="242" spans="1:9" x14ac:dyDescent="0.3">
      <c r="A242" s="19" t="s">
        <v>856</v>
      </c>
      <c r="B242" s="20" t="str">
        <f>IF(ISBLANK('Contactos Agua Celica'!F239),"",'Contactos Agua Celica'!F239)</f>
        <v>José Chamba</v>
      </c>
      <c r="C242" s="18" t="str">
        <f>IF(ISBLANK('Contactos Agua Celica'!G239),"",'Contactos Agua Celica'!G239)</f>
        <v>+593 99 131 7278</v>
      </c>
      <c r="D242" s="19" t="str">
        <f>IF(ISBLANK('Contactos Agua Celica'!H239),"",MID('Contactos Agua Celica'!H239,1,FIND(",",'Contactos Agua Celica'!H239,1)-1))</f>
        <v/>
      </c>
      <c r="E242" s="19" t="str">
        <f>IF(ISBLANK('Contactos Agua Celica'!H239),"",MID('Contactos Agua Celica'!H239,FIND(",",'Contactos Agua Celica'!H239,1)+1,LEN('Contactos Agua Celica'!H239)))</f>
        <v/>
      </c>
      <c r="F242" s="11" t="s">
        <v>1267</v>
      </c>
      <c r="G242" s="19" t="str">
        <f>IF(ISBLANK('Contactos Agua Celica'!F239)," ","false")</f>
        <v>false</v>
      </c>
      <c r="H242" s="19" t="str">
        <f>IF(ISBLANK('Contactos Agua Celica'!F239)," ","0")</f>
        <v>0</v>
      </c>
      <c r="I242" s="19" t="str">
        <f>IF(ISBLANK('Contactos Agua Celica'!F239)," ","0")</f>
        <v>0</v>
      </c>
    </row>
    <row r="243" spans="1:9" x14ac:dyDescent="0.3">
      <c r="A243" s="19" t="s">
        <v>857</v>
      </c>
      <c r="B243" s="20" t="str">
        <f>IF(ISBLANK('Contactos Agua Celica'!F240),"",'Contactos Agua Celica'!F240)</f>
        <v>José Luis Vera</v>
      </c>
      <c r="C243" s="18" t="str">
        <f>IF(ISBLANK('Contactos Agua Celica'!G240),"",'Contactos Agua Celica'!G240)</f>
        <v>+593 96 094 7157</v>
      </c>
      <c r="D243" s="19" t="str">
        <f>IF(ISBLANK('Contactos Agua Celica'!H240),"",MID('Contactos Agua Celica'!H240,1,FIND(",",'Contactos Agua Celica'!H240,1)-1))</f>
        <v/>
      </c>
      <c r="E243" s="19" t="str">
        <f>IF(ISBLANK('Contactos Agua Celica'!H240),"",MID('Contactos Agua Celica'!H240,FIND(",",'Contactos Agua Celica'!H240,1)+1,LEN('Contactos Agua Celica'!H240)))</f>
        <v/>
      </c>
      <c r="F243" s="11" t="s">
        <v>1267</v>
      </c>
      <c r="G243" s="19" t="str">
        <f>IF(ISBLANK('Contactos Agua Celica'!F240)," ","false")</f>
        <v>false</v>
      </c>
      <c r="H243" s="19" t="str">
        <f>IF(ISBLANK('Contactos Agua Celica'!F240)," ","0")</f>
        <v>0</v>
      </c>
      <c r="I243" s="19" t="str">
        <f>IF(ISBLANK('Contactos Agua Celica'!F240)," ","0")</f>
        <v>0</v>
      </c>
    </row>
    <row r="244" spans="1:9" x14ac:dyDescent="0.3">
      <c r="A244" s="19" t="s">
        <v>858</v>
      </c>
      <c r="B244" s="20" t="str">
        <f>IF(ISBLANK('Contactos Agua Celica'!F241),"",'Contactos Agua Celica'!F241)</f>
        <v>Juan Bravo</v>
      </c>
      <c r="C244" s="18" t="str">
        <f>IF(ISBLANK('Contactos Agua Celica'!G241),"",'Contactos Agua Celica'!G241)</f>
        <v>0985571220</v>
      </c>
      <c r="D244" s="19" t="str">
        <f>IF(ISBLANK('Contactos Agua Celica'!H241),"",MID('Contactos Agua Celica'!H241,1,FIND(",",'Contactos Agua Celica'!H241,1)-1))</f>
        <v/>
      </c>
      <c r="E244" s="19" t="str">
        <f>IF(ISBLANK('Contactos Agua Celica'!H241),"",MID('Contactos Agua Celica'!H241,FIND(",",'Contactos Agua Celica'!H241,1)+1,LEN('Contactos Agua Celica'!H241)))</f>
        <v/>
      </c>
      <c r="F244" s="11" t="s">
        <v>1267</v>
      </c>
      <c r="G244" s="19" t="str">
        <f>IF(ISBLANK('Contactos Agua Celica'!F241)," ","false")</f>
        <v>false</v>
      </c>
      <c r="H244" s="19" t="str">
        <f>IF(ISBLANK('Contactos Agua Celica'!F241)," ","0")</f>
        <v>0</v>
      </c>
      <c r="I244" s="19" t="str">
        <f>IF(ISBLANK('Contactos Agua Celica'!F241)," ","0")</f>
        <v>0</v>
      </c>
    </row>
    <row r="245" spans="1:9" x14ac:dyDescent="0.3">
      <c r="A245" s="19" t="s">
        <v>859</v>
      </c>
      <c r="B245" s="20" t="str">
        <f>IF(ISBLANK('Contactos Agua Celica'!F242),"",'Contactos Agua Celica'!F242)</f>
        <v>Juan Cárdenas</v>
      </c>
      <c r="C245" s="18" t="str">
        <f>IF(ISBLANK('Contactos Agua Celica'!G242),"",'Contactos Agua Celica'!G242)</f>
        <v>099 309 5589</v>
      </c>
      <c r="D245" s="19" t="str">
        <f>IF(ISBLANK('Contactos Agua Celica'!H242),"",MID('Contactos Agua Celica'!H242,1,FIND(",",'Contactos Agua Celica'!H242,1)-1))</f>
        <v/>
      </c>
      <c r="E245" s="19" t="str">
        <f>IF(ISBLANK('Contactos Agua Celica'!H242),"",MID('Contactos Agua Celica'!H242,FIND(",",'Contactos Agua Celica'!H242,1)+1,LEN('Contactos Agua Celica'!H242)))</f>
        <v/>
      </c>
      <c r="F245" s="11" t="s">
        <v>1262</v>
      </c>
      <c r="G245" s="19" t="str">
        <f>IF(ISBLANK('Contactos Agua Celica'!F242)," ","false")</f>
        <v>false</v>
      </c>
      <c r="H245" s="19" t="str">
        <f>IF(ISBLANK('Contactos Agua Celica'!F242)," ","0")</f>
        <v>0</v>
      </c>
      <c r="I245" s="19" t="str">
        <f>IF(ISBLANK('Contactos Agua Celica'!F242)," ","0")</f>
        <v>0</v>
      </c>
    </row>
    <row r="246" spans="1:9" x14ac:dyDescent="0.3">
      <c r="A246" s="19" t="s">
        <v>860</v>
      </c>
      <c r="B246" s="20" t="str">
        <f>IF(ISBLANK('Contactos Agua Celica'!F243),"",'Contactos Agua Celica'!F243)</f>
        <v>Juan Carlos Guaycha</v>
      </c>
      <c r="C246" s="18" t="str">
        <f>IF(ISBLANK('Contactos Agua Celica'!G243),"",'Contactos Agua Celica'!G243)</f>
        <v>+593 99 447 4999</v>
      </c>
      <c r="D246" s="19" t="str">
        <f>IF(ISBLANK('Contactos Agua Celica'!H243),"",MID('Contactos Agua Celica'!H243,1,FIND(",",'Contactos Agua Celica'!H243,1)-1))</f>
        <v>-4.10443861125979</v>
      </c>
      <c r="E246" s="19" t="str">
        <f>IF(ISBLANK('Contactos Agua Celica'!H243),"",MID('Contactos Agua Celica'!H243,FIND(",",'Contactos Agua Celica'!H243,1)+1,LEN('Contactos Agua Celica'!H243)))</f>
        <v xml:space="preserve"> -79.95709849962863</v>
      </c>
      <c r="F246" s="11" t="s">
        <v>1267</v>
      </c>
      <c r="G246" s="19" t="str">
        <f>IF(ISBLANK('Contactos Agua Celica'!F243)," ","false")</f>
        <v>false</v>
      </c>
      <c r="H246" s="19" t="str">
        <f>IF(ISBLANK('Contactos Agua Celica'!F243)," ","0")</f>
        <v>0</v>
      </c>
      <c r="I246" s="19" t="str">
        <f>IF(ISBLANK('Contactos Agua Celica'!F243)," ","0")</f>
        <v>0</v>
      </c>
    </row>
    <row r="247" spans="1:9" x14ac:dyDescent="0.3">
      <c r="A247" s="19" t="s">
        <v>861</v>
      </c>
      <c r="B247" s="20" t="str">
        <f>IF(ISBLANK('Contactos Agua Celica'!F244),"",'Contactos Agua Celica'!F244)</f>
        <v>Juan Pablo Bustamante</v>
      </c>
      <c r="C247" s="18" t="str">
        <f>IF(ISBLANK('Contactos Agua Celica'!G244),"",'Contactos Agua Celica'!G244)</f>
        <v>+593 98 622 6536</v>
      </c>
      <c r="D247" s="19" t="str">
        <f>IF(ISBLANK('Contactos Agua Celica'!H244),"",MID('Contactos Agua Celica'!H244,1,FIND(",",'Contactos Agua Celica'!H244,1)-1))</f>
        <v>-4.103415739750218</v>
      </c>
      <c r="E247" s="19" t="str">
        <f>IF(ISBLANK('Contactos Agua Celica'!H244),"",MID('Contactos Agua Celica'!H244,FIND(",",'Contactos Agua Celica'!H244,1)+1,LEN('Contactos Agua Celica'!H244)))</f>
        <v xml:space="preserve"> -79.95440990197592</v>
      </c>
      <c r="F247" s="11" t="s">
        <v>1261</v>
      </c>
      <c r="G247" s="19" t="str">
        <f>IF(ISBLANK('Contactos Agua Celica'!F244)," ","false")</f>
        <v>false</v>
      </c>
      <c r="H247" s="19" t="str">
        <f>IF(ISBLANK('Contactos Agua Celica'!F244)," ","0")</f>
        <v>0</v>
      </c>
      <c r="I247" s="19" t="str">
        <f>IF(ISBLANK('Contactos Agua Celica'!F244)," ","0")</f>
        <v>0</v>
      </c>
    </row>
    <row r="248" spans="1:9" x14ac:dyDescent="0.3">
      <c r="A248" s="19" t="s">
        <v>862</v>
      </c>
      <c r="B248" s="20" t="str">
        <f>IF(ISBLANK('Contactos Agua Celica'!F245),"",'Contactos Agua Celica'!F245)</f>
        <v>Juan Quezada Bly</v>
      </c>
      <c r="C248" s="18" t="str">
        <f>IF(ISBLANK('Contactos Agua Celica'!G245),"",'Contactos Agua Celica'!G245)</f>
        <v>+593992287805</v>
      </c>
      <c r="D248" s="19" t="str">
        <f>IF(ISBLANK('Contactos Agua Celica'!H245),"",MID('Contactos Agua Celica'!H245,1,FIND(",",'Contactos Agua Celica'!H245,1)-1))</f>
        <v/>
      </c>
      <c r="E248" s="19" t="str">
        <f>IF(ISBLANK('Contactos Agua Celica'!H245),"",MID('Contactos Agua Celica'!H245,FIND(",",'Contactos Agua Celica'!H245,1)+1,LEN('Contactos Agua Celica'!H245)))</f>
        <v/>
      </c>
      <c r="F248" s="11" t="s">
        <v>1267</v>
      </c>
      <c r="G248" s="19" t="str">
        <f>IF(ISBLANK('Contactos Agua Celica'!F245)," ","false")</f>
        <v>false</v>
      </c>
      <c r="H248" s="19" t="str">
        <f>IF(ISBLANK('Contactos Agua Celica'!F245)," ","0")</f>
        <v>0</v>
      </c>
      <c r="I248" s="19" t="str">
        <f>IF(ISBLANK('Contactos Agua Celica'!F245)," ","0")</f>
        <v>0</v>
      </c>
    </row>
    <row r="249" spans="1:9" x14ac:dyDescent="0.3">
      <c r="A249" s="19" t="s">
        <v>863</v>
      </c>
      <c r="B249" s="20" t="str">
        <f>IF(ISBLANK('Contactos Agua Celica'!F246),"",'Contactos Agua Celica'!F246)</f>
        <v>Julio Bustamante</v>
      </c>
      <c r="C249" s="18" t="str">
        <f>IF(ISBLANK('Contactos Agua Celica'!G246),"",'Contactos Agua Celica'!G246)</f>
        <v>095 918 5231</v>
      </c>
      <c r="D249" s="19" t="str">
        <f>IF(ISBLANK('Contactos Agua Celica'!H246),"",MID('Contactos Agua Celica'!H246,1,FIND(",",'Contactos Agua Celica'!H246,1)-1))</f>
        <v>-4.103839573812561</v>
      </c>
      <c r="E249" s="19" t="str">
        <f>IF(ISBLANK('Contactos Agua Celica'!H246),"",MID('Contactos Agua Celica'!H246,FIND(",",'Contactos Agua Celica'!H246,1)+1,LEN('Contactos Agua Celica'!H246)))</f>
        <v xml:space="preserve"> -79.95593424168736</v>
      </c>
      <c r="F249" s="11" t="s">
        <v>1267</v>
      </c>
      <c r="G249" s="19" t="str">
        <f>IF(ISBLANK('Contactos Agua Celica'!F246)," ","false")</f>
        <v>false</v>
      </c>
      <c r="H249" s="19" t="str">
        <f>IF(ISBLANK('Contactos Agua Celica'!F246)," ","0")</f>
        <v>0</v>
      </c>
      <c r="I249" s="19" t="str">
        <f>IF(ISBLANK('Contactos Agua Celica'!F246)," ","0")</f>
        <v>0</v>
      </c>
    </row>
    <row r="250" spans="1:9" x14ac:dyDescent="0.3">
      <c r="A250" s="19" t="s">
        <v>864</v>
      </c>
      <c r="B250" s="20" t="str">
        <f>IF(ISBLANK('Contactos Agua Celica'!F247),"",'Contactos Agua Celica'!F247)</f>
        <v>Julio Silva</v>
      </c>
      <c r="C250" s="18" t="str">
        <f>IF(ISBLANK('Contactos Agua Celica'!G247),"",'Contactos Agua Celica'!G247)</f>
        <v>+593 96 107 7088</v>
      </c>
      <c r="D250" s="19" t="str">
        <f>IF(ISBLANK('Contactos Agua Celica'!H247),"",MID('Contactos Agua Celica'!H247,1,FIND(",",'Contactos Agua Celica'!H247,1)-1))</f>
        <v/>
      </c>
      <c r="E250" s="19" t="str">
        <f>IF(ISBLANK('Contactos Agua Celica'!H247),"",MID('Contactos Agua Celica'!H247,FIND(",",'Contactos Agua Celica'!H247,1)+1,LEN('Contactos Agua Celica'!H247)))</f>
        <v/>
      </c>
      <c r="F250" s="11" t="s">
        <v>1268</v>
      </c>
      <c r="G250" s="19" t="str">
        <f>IF(ISBLANK('Contactos Agua Celica'!F247)," ","false")</f>
        <v>false</v>
      </c>
      <c r="H250" s="19" t="str">
        <f>IF(ISBLANK('Contactos Agua Celica'!F247)," ","0")</f>
        <v>0</v>
      </c>
      <c r="I250" s="19" t="str">
        <f>IF(ISBLANK('Contactos Agua Celica'!F247)," ","0")</f>
        <v>0</v>
      </c>
    </row>
    <row r="251" spans="1:9" x14ac:dyDescent="0.3">
      <c r="A251" s="19" t="s">
        <v>865</v>
      </c>
      <c r="B251" s="20" t="str">
        <f>IF(ISBLANK('Contactos Agua Celica'!F248),"",'Contactos Agua Celica'!F248)</f>
        <v>Jumbo San Martin</v>
      </c>
      <c r="C251" s="18" t="str">
        <f>IF(ISBLANK('Contactos Agua Celica'!G248),"",'Contactos Agua Celica'!G248)</f>
        <v>+593 98 612 7244</v>
      </c>
      <c r="D251" s="19" t="str">
        <f>IF(ISBLANK('Contactos Agua Celica'!H248),"",MID('Contactos Agua Celica'!H248,1,FIND(",",'Contactos Agua Celica'!H248,1)-1))</f>
        <v/>
      </c>
      <c r="E251" s="19" t="str">
        <f>IF(ISBLANK('Contactos Agua Celica'!H248),"",MID('Contactos Agua Celica'!H248,FIND(",",'Contactos Agua Celica'!H248,1)+1,LEN('Contactos Agua Celica'!H248)))</f>
        <v/>
      </c>
      <c r="F251" s="11" t="s">
        <v>1268</v>
      </c>
      <c r="G251" s="19" t="str">
        <f>IF(ISBLANK('Contactos Agua Celica'!F248)," ","false")</f>
        <v>false</v>
      </c>
      <c r="H251" s="19" t="str">
        <f>IF(ISBLANK('Contactos Agua Celica'!F248)," ","0")</f>
        <v>0</v>
      </c>
      <c r="I251" s="19" t="str">
        <f>IF(ISBLANK('Contactos Agua Celica'!F248)," ","0")</f>
        <v>0</v>
      </c>
    </row>
    <row r="252" spans="1:9" x14ac:dyDescent="0.3">
      <c r="A252" s="19" t="s">
        <v>866</v>
      </c>
      <c r="B252" s="20" t="str">
        <f>IF(ISBLANK('Contactos Agua Celica'!F249),"",'Contactos Agua Celica'!F249)</f>
        <v>Karen Yanela</v>
      </c>
      <c r="C252" s="18" t="str">
        <f>IF(ISBLANK('Contactos Agua Celica'!G249),"",'Contactos Agua Celica'!G249)</f>
        <v>+593 97 970 5748</v>
      </c>
      <c r="D252" s="19" t="str">
        <f>IF(ISBLANK('Contactos Agua Celica'!H249),"",MID('Contactos Agua Celica'!H249,1,FIND(",",'Contactos Agua Celica'!H249,1)-1))</f>
        <v/>
      </c>
      <c r="E252" s="19" t="str">
        <f>IF(ISBLANK('Contactos Agua Celica'!H249),"",MID('Contactos Agua Celica'!H249,FIND(",",'Contactos Agua Celica'!H249,1)+1,LEN('Contactos Agua Celica'!H249)))</f>
        <v/>
      </c>
      <c r="F252" s="11" t="s">
        <v>1267</v>
      </c>
      <c r="G252" s="19" t="str">
        <f>IF(ISBLANK('Contactos Agua Celica'!F249)," ","false")</f>
        <v>false</v>
      </c>
      <c r="H252" s="19" t="str">
        <f>IF(ISBLANK('Contactos Agua Celica'!F249)," ","0")</f>
        <v>0</v>
      </c>
      <c r="I252" s="19" t="str">
        <f>IF(ISBLANK('Contactos Agua Celica'!F249)," ","0")</f>
        <v>0</v>
      </c>
    </row>
    <row r="253" spans="1:9" x14ac:dyDescent="0.3">
      <c r="A253" s="19" t="s">
        <v>867</v>
      </c>
      <c r="B253" s="20" t="str">
        <f>IF(ISBLANK('Contactos Agua Celica'!F250),"",'Contactos Agua Celica'!F250)</f>
        <v>Katerine Campoverde</v>
      </c>
      <c r="C253" s="18" t="str">
        <f>IF(ISBLANK('Contactos Agua Celica'!G250),"",'Contactos Agua Celica'!G250)</f>
        <v>+593987290080</v>
      </c>
      <c r="D253" s="19" t="str">
        <f>IF(ISBLANK('Contactos Agua Celica'!H250),"",MID('Contactos Agua Celica'!H250,1,FIND(",",'Contactos Agua Celica'!H250,1)-1))</f>
        <v>-4.099601470142086</v>
      </c>
      <c r="E253" s="19" t="str">
        <f>IF(ISBLANK('Contactos Agua Celica'!H250),"",MID('Contactos Agua Celica'!H250,FIND(",",'Contactos Agua Celica'!H250,1)+1,LEN('Contactos Agua Celica'!H250)))</f>
        <v xml:space="preserve"> -79.95712791654154</v>
      </c>
      <c r="F253" s="11" t="s">
        <v>1267</v>
      </c>
      <c r="G253" s="19" t="str">
        <f>IF(ISBLANK('Contactos Agua Celica'!F250)," ","false")</f>
        <v>false</v>
      </c>
      <c r="H253" s="19" t="str">
        <f>IF(ISBLANK('Contactos Agua Celica'!F250)," ","0")</f>
        <v>0</v>
      </c>
      <c r="I253" s="19" t="str">
        <f>IF(ISBLANK('Contactos Agua Celica'!F250)," ","0")</f>
        <v>0</v>
      </c>
    </row>
    <row r="254" spans="1:9" x14ac:dyDescent="0.3">
      <c r="A254" s="19" t="s">
        <v>868</v>
      </c>
      <c r="B254" s="20" t="str">
        <f>IF(ISBLANK('Contactos Agua Celica'!F251),"",'Contactos Agua Celica'!F251)</f>
        <v>Kevin Mera</v>
      </c>
      <c r="C254" s="18" t="str">
        <f>IF(ISBLANK('Contactos Agua Celica'!G251),"",'Contactos Agua Celica'!G251)</f>
        <v>+593 99 499 2896</v>
      </c>
      <c r="D254" s="19" t="str">
        <f>IF(ISBLANK('Contactos Agua Celica'!H251),"",MID('Contactos Agua Celica'!H251,1,FIND(",",'Contactos Agua Celica'!H251,1)-1))</f>
        <v/>
      </c>
      <c r="E254" s="19" t="str">
        <f>IF(ISBLANK('Contactos Agua Celica'!H251),"",MID('Contactos Agua Celica'!H251,FIND(",",'Contactos Agua Celica'!H251,1)+1,LEN('Contactos Agua Celica'!H251)))</f>
        <v/>
      </c>
      <c r="F254" s="11" t="s">
        <v>1268</v>
      </c>
      <c r="G254" s="19" t="str">
        <f>IF(ISBLANK('Contactos Agua Celica'!F251)," ","false")</f>
        <v>false</v>
      </c>
      <c r="H254" s="19" t="str">
        <f>IF(ISBLANK('Contactos Agua Celica'!F251)," ","0")</f>
        <v>0</v>
      </c>
      <c r="I254" s="19" t="str">
        <f>IF(ISBLANK('Contactos Agua Celica'!F251)," ","0")</f>
        <v>0</v>
      </c>
    </row>
    <row r="255" spans="1:9" x14ac:dyDescent="0.3">
      <c r="A255" s="19" t="s">
        <v>869</v>
      </c>
      <c r="B255" s="20" t="str">
        <f>IF(ISBLANK('Contactos Agua Celica'!F252),"",'Contactos Agua Celica'!F252)</f>
        <v>Klever Martinez</v>
      </c>
      <c r="C255" s="18" t="str">
        <f>IF(ISBLANK('Contactos Agua Celica'!G252),"",'Contactos Agua Celica'!G252)</f>
        <v>0993801806</v>
      </c>
      <c r="D255" s="19" t="str">
        <f>IF(ISBLANK('Contactos Agua Celica'!H252),"",MID('Contactos Agua Celica'!H252,1,FIND(",",'Contactos Agua Celica'!H252,1)-1))</f>
        <v>-4.103598194002668</v>
      </c>
      <c r="E255" s="19" t="str">
        <f>IF(ISBLANK('Contactos Agua Celica'!H252),"",MID('Contactos Agua Celica'!H252,FIND(",",'Contactos Agua Celica'!H252,1)+1,LEN('Contactos Agua Celica'!H252)))</f>
        <v xml:space="preserve"> -79.95593058000651</v>
      </c>
      <c r="F255" s="11" t="s">
        <v>1267</v>
      </c>
      <c r="G255" s="19" t="str">
        <f>IF(ISBLANK('Contactos Agua Celica'!F252)," ","false")</f>
        <v>false</v>
      </c>
      <c r="H255" s="19" t="str">
        <f>IF(ISBLANK('Contactos Agua Celica'!F252)," ","0")</f>
        <v>0</v>
      </c>
      <c r="I255" s="19" t="str">
        <f>IF(ISBLANK('Contactos Agua Celica'!F252)," ","0")</f>
        <v>0</v>
      </c>
    </row>
    <row r="256" spans="1:9" x14ac:dyDescent="0.3">
      <c r="A256" s="19" t="s">
        <v>870</v>
      </c>
      <c r="B256" s="20" t="str">
        <f>IF(ISBLANK('Contactos Agua Celica'!F253),"",'Contactos Agua Celica'!F253)</f>
        <v>Kristi Cauro</v>
      </c>
      <c r="C256" s="18" t="str">
        <f>IF(ISBLANK('Contactos Agua Celica'!G253),"",'Contactos Agua Celica'!G253)</f>
        <v>+593 98 458 0907</v>
      </c>
      <c r="D256" s="19" t="str">
        <f>IF(ISBLANK('Contactos Agua Celica'!H253),"",MID('Contactos Agua Celica'!H253,1,FIND(",",'Contactos Agua Celica'!H253,1)-1))</f>
        <v>-4.10403591833981</v>
      </c>
      <c r="E256" s="19" t="str">
        <f>IF(ISBLANK('Contactos Agua Celica'!H253),"",MID('Contactos Agua Celica'!H253,FIND(",",'Contactos Agua Celica'!H253,1)+1,LEN('Contactos Agua Celica'!H253)))</f>
        <v xml:space="preserve"> -79.95824364676206</v>
      </c>
      <c r="F256" s="11" t="s">
        <v>1267</v>
      </c>
      <c r="G256" s="19" t="str">
        <f>IF(ISBLANK('Contactos Agua Celica'!F253)," ","false")</f>
        <v>false</v>
      </c>
      <c r="H256" s="19" t="str">
        <f>IF(ISBLANK('Contactos Agua Celica'!F253)," ","0")</f>
        <v>0</v>
      </c>
      <c r="I256" s="19" t="str">
        <f>IF(ISBLANK('Contactos Agua Celica'!F253)," ","0")</f>
        <v>0</v>
      </c>
    </row>
    <row r="257" spans="1:9" x14ac:dyDescent="0.3">
      <c r="A257" s="19" t="s">
        <v>871</v>
      </c>
      <c r="B257" s="20" t="str">
        <f>IF(ISBLANK('Contactos Agua Celica'!F254),"",'Contactos Agua Celica'!F254)</f>
        <v>Kristie Cauro 2</v>
      </c>
      <c r="C257" s="18" t="str">
        <f>IF(ISBLANK('Contactos Agua Celica'!G254),"",'Contactos Agua Celica'!G254)</f>
        <v>+593 98 725 6943</v>
      </c>
      <c r="D257" s="19" t="str">
        <f>IF(ISBLANK('Contactos Agua Celica'!H254),"",MID('Contactos Agua Celica'!H254,1,FIND(",",'Contactos Agua Celica'!H254,1)-1))</f>
        <v>-4.10403591833981</v>
      </c>
      <c r="E257" s="19" t="str">
        <f>IF(ISBLANK('Contactos Agua Celica'!H254),"",MID('Contactos Agua Celica'!H254,FIND(",",'Contactos Agua Celica'!H254,1)+1,LEN('Contactos Agua Celica'!H254)))</f>
        <v xml:space="preserve"> -79.95824364676206</v>
      </c>
      <c r="F257" s="11" t="s">
        <v>1267</v>
      </c>
      <c r="G257" s="19" t="str">
        <f>IF(ISBLANK('Contactos Agua Celica'!F254)," ","false")</f>
        <v>false</v>
      </c>
      <c r="H257" s="19" t="str">
        <f>IF(ISBLANK('Contactos Agua Celica'!F254)," ","0")</f>
        <v>0</v>
      </c>
      <c r="I257" s="19" t="str">
        <f>IF(ISBLANK('Contactos Agua Celica'!F254)," ","0")</f>
        <v>0</v>
      </c>
    </row>
    <row r="258" spans="1:9" x14ac:dyDescent="0.3">
      <c r="A258" s="19" t="s">
        <v>872</v>
      </c>
      <c r="B258" s="20" t="str">
        <f>IF(ISBLANK('Contactos Agua Celica'!F255),"",'Contactos Agua Celica'!F255)</f>
        <v>Labolab</v>
      </c>
      <c r="C258" s="18" t="str">
        <f>IF(ISBLANK('Contactos Agua Celica'!G255),"",'Contactos Agua Celica'!G255)</f>
        <v>0999590412</v>
      </c>
      <c r="D258" s="19" t="str">
        <f>IF(ISBLANK('Contactos Agua Celica'!H255),"",MID('Contactos Agua Celica'!H255,1,FIND(",",'Contactos Agua Celica'!H255,1)-1))</f>
        <v/>
      </c>
      <c r="E258" s="19" t="str">
        <f>IF(ISBLANK('Contactos Agua Celica'!H255),"",MID('Contactos Agua Celica'!H255,FIND(",",'Contactos Agua Celica'!H255,1)+1,LEN('Contactos Agua Celica'!H255)))</f>
        <v/>
      </c>
      <c r="F258" s="11" t="s">
        <v>1267</v>
      </c>
      <c r="G258" s="19" t="str">
        <f>IF(ISBLANK('Contactos Agua Celica'!F255)," ","false")</f>
        <v>false</v>
      </c>
      <c r="H258" s="19" t="str">
        <f>IF(ISBLANK('Contactos Agua Celica'!F255)," ","0")</f>
        <v>0</v>
      </c>
      <c r="I258" s="19" t="str">
        <f>IF(ISBLANK('Contactos Agua Celica'!F255)," ","0")</f>
        <v>0</v>
      </c>
    </row>
    <row r="259" spans="1:9" x14ac:dyDescent="0.3">
      <c r="A259" s="19" t="s">
        <v>873</v>
      </c>
      <c r="B259" s="20" t="str">
        <f>IF(ISBLANK('Contactos Agua Celica'!F256),"",'Contactos Agua Celica'!F256)</f>
        <v>Lady Villa 106</v>
      </c>
      <c r="C259" s="18" t="str">
        <f>IF(ISBLANK('Contactos Agua Celica'!G256),"",'Contactos Agua Celica'!G256)</f>
        <v>+593 99 782 5053</v>
      </c>
      <c r="D259" s="19" t="str">
        <f>IF(ISBLANK('Contactos Agua Celica'!H256),"",MID('Contactos Agua Celica'!H256,1,FIND(",",'Contactos Agua Celica'!H256,1)-1))</f>
        <v>-4.099599013144486</v>
      </c>
      <c r="E259" s="19" t="str">
        <f>IF(ISBLANK('Contactos Agua Celica'!H256),"",MID('Contactos Agua Celica'!H256,FIND(",",'Contactos Agua Celica'!H256,1)+1,LEN('Contactos Agua Celica'!H256)))</f>
        <v xml:space="preserve"> -79.95760604192387</v>
      </c>
      <c r="F259" s="11" t="s">
        <v>1258</v>
      </c>
      <c r="G259" s="19" t="str">
        <f>IF(ISBLANK('Contactos Agua Celica'!F256)," ","false")</f>
        <v>false</v>
      </c>
      <c r="H259" s="19" t="str">
        <f>IF(ISBLANK('Contactos Agua Celica'!F256)," ","0")</f>
        <v>0</v>
      </c>
      <c r="I259" s="19" t="str">
        <f>IF(ISBLANK('Contactos Agua Celica'!F256)," ","0")</f>
        <v>0</v>
      </c>
    </row>
    <row r="260" spans="1:9" x14ac:dyDescent="0.3">
      <c r="A260" s="19" t="s">
        <v>874</v>
      </c>
      <c r="B260" s="20" t="str">
        <f>IF(ISBLANK('Contactos Agua Celica'!F257),"",'Contactos Agua Celica'!F257)</f>
        <v>Leandro</v>
      </c>
      <c r="C260" s="18" t="str">
        <f>IF(ISBLANK('Contactos Agua Celica'!G257),"",'Contactos Agua Celica'!G257)</f>
        <v>+593 99 421 1015</v>
      </c>
      <c r="D260" s="19" t="str">
        <f>IF(ISBLANK('Contactos Agua Celica'!H257),"",MID('Contactos Agua Celica'!H257,1,FIND(",",'Contactos Agua Celica'!H257,1)-1))</f>
        <v/>
      </c>
      <c r="E260" s="19" t="str">
        <f>IF(ISBLANK('Contactos Agua Celica'!H257),"",MID('Contactos Agua Celica'!H257,FIND(",",'Contactos Agua Celica'!H257,1)+1,LEN('Contactos Agua Celica'!H257)))</f>
        <v/>
      </c>
      <c r="F260" s="11" t="s">
        <v>1267</v>
      </c>
      <c r="G260" s="19" t="str">
        <f>IF(ISBLANK('Contactos Agua Celica'!F257)," ","false")</f>
        <v>false</v>
      </c>
      <c r="H260" s="19" t="str">
        <f>IF(ISBLANK('Contactos Agua Celica'!F257)," ","0")</f>
        <v>0</v>
      </c>
      <c r="I260" s="19" t="str">
        <f>IF(ISBLANK('Contactos Agua Celica'!F257)," ","0")</f>
        <v>0</v>
      </c>
    </row>
    <row r="261" spans="1:9" x14ac:dyDescent="0.3">
      <c r="A261" s="19" t="s">
        <v>875</v>
      </c>
      <c r="B261" s="20" t="str">
        <f>IF(ISBLANK('Contactos Agua Celica'!F258),"",'Contactos Agua Celica'!F258)</f>
        <v>Leiva</v>
      </c>
      <c r="C261" s="18" t="str">
        <f>IF(ISBLANK('Contactos Agua Celica'!G258),"",'Contactos Agua Celica'!G258)</f>
        <v>+593991170750</v>
      </c>
      <c r="D261" s="19" t="str">
        <f>IF(ISBLANK('Contactos Agua Celica'!H258),"",MID('Contactos Agua Celica'!H258,1,FIND(",",'Contactos Agua Celica'!H258,1)-1))</f>
        <v>-4.10544125950708</v>
      </c>
      <c r="E261" s="19" t="str">
        <f>IF(ISBLANK('Contactos Agua Celica'!H258),"",MID('Contactos Agua Celica'!H258,FIND(",",'Contactos Agua Celica'!H258,1)+1,LEN('Contactos Agua Celica'!H258)))</f>
        <v xml:space="preserve"> -79.95480058240612</v>
      </c>
      <c r="F261" s="11" t="s">
        <v>1267</v>
      </c>
      <c r="G261" s="19" t="str">
        <f>IF(ISBLANK('Contactos Agua Celica'!F258)," ","false")</f>
        <v>false</v>
      </c>
      <c r="H261" s="19" t="str">
        <f>IF(ISBLANK('Contactos Agua Celica'!F258)," ","0")</f>
        <v>0</v>
      </c>
      <c r="I261" s="19" t="str">
        <f>IF(ISBLANK('Contactos Agua Celica'!F258)," ","0")</f>
        <v>0</v>
      </c>
    </row>
    <row r="262" spans="1:9" x14ac:dyDescent="0.3">
      <c r="A262" s="19" t="s">
        <v>876</v>
      </c>
      <c r="B262" s="20" t="str">
        <f>IF(ISBLANK('Contactos Agua Celica'!F259),"",'Contactos Agua Celica'!F259)</f>
        <v>Leiva</v>
      </c>
      <c r="C262" s="18" t="str">
        <f>IF(ISBLANK('Contactos Agua Celica'!G259),"",'Contactos Agua Celica'!G259)</f>
        <v>+593990821508</v>
      </c>
      <c r="D262" s="19" t="str">
        <f>IF(ISBLANK('Contactos Agua Celica'!H259),"",MID('Contactos Agua Celica'!H259,1,FIND(",",'Contactos Agua Celica'!H259,1)-1))</f>
        <v>-4.10544125950708</v>
      </c>
      <c r="E262" s="19" t="str">
        <f>IF(ISBLANK('Contactos Agua Celica'!H259),"",MID('Contactos Agua Celica'!H259,FIND(",",'Contactos Agua Celica'!H259,1)+1,LEN('Contactos Agua Celica'!H259)))</f>
        <v xml:space="preserve"> -79.95480058240612</v>
      </c>
      <c r="F262" s="11" t="s">
        <v>1263</v>
      </c>
      <c r="G262" s="19" t="str">
        <f>IF(ISBLANK('Contactos Agua Celica'!F259)," ","false")</f>
        <v>false</v>
      </c>
      <c r="H262" s="19" t="str">
        <f>IF(ISBLANK('Contactos Agua Celica'!F259)," ","0")</f>
        <v>0</v>
      </c>
      <c r="I262" s="19" t="str">
        <f>IF(ISBLANK('Contactos Agua Celica'!F259)," ","0")</f>
        <v>0</v>
      </c>
    </row>
    <row r="263" spans="1:9" x14ac:dyDescent="0.3">
      <c r="A263" s="19" t="s">
        <v>877</v>
      </c>
      <c r="B263" s="20" t="str">
        <f>IF(ISBLANK('Contactos Agua Celica'!F260),"",'Contactos Agua Celica'!F260)</f>
        <v>Leodan Jumbo</v>
      </c>
      <c r="C263" s="18" t="str">
        <f>IF(ISBLANK('Contactos Agua Celica'!G260),"",'Contactos Agua Celica'!G260)</f>
        <v>098 149 3376</v>
      </c>
      <c r="D263" s="19" t="str">
        <f>IF(ISBLANK('Contactos Agua Celica'!H260),"",MID('Contactos Agua Celica'!H260,1,FIND(",",'Contactos Agua Celica'!H260,1)-1))</f>
        <v>-4.103650618107754</v>
      </c>
      <c r="E263" s="19" t="str">
        <f>IF(ISBLANK('Contactos Agua Celica'!H260),"",MID('Contactos Agua Celica'!H260,FIND(",",'Contactos Agua Celica'!H260,1)+1,LEN('Contactos Agua Celica'!H260)))</f>
        <v xml:space="preserve"> -79.9543323392294</v>
      </c>
      <c r="F263" s="11" t="s">
        <v>1268</v>
      </c>
      <c r="G263" s="19" t="str">
        <f>IF(ISBLANK('Contactos Agua Celica'!F260)," ","false")</f>
        <v>false</v>
      </c>
      <c r="H263" s="19" t="str">
        <f>IF(ISBLANK('Contactos Agua Celica'!F260)," ","0")</f>
        <v>0</v>
      </c>
      <c r="I263" s="19" t="str">
        <f>IF(ISBLANK('Contactos Agua Celica'!F260)," ","0")</f>
        <v>0</v>
      </c>
    </row>
    <row r="264" spans="1:9" x14ac:dyDescent="0.3">
      <c r="A264" s="19" t="s">
        <v>878</v>
      </c>
      <c r="B264" s="20" t="str">
        <f>IF(ISBLANK('Contactos Agua Celica'!F261),"",'Contactos Agua Celica'!F261)</f>
        <v>Leonardo Maza</v>
      </c>
      <c r="C264" s="18" t="str">
        <f>IF(ISBLANK('Contactos Agua Celica'!G261),"",'Contactos Agua Celica'!G261)</f>
        <v>+593 93 992 4792</v>
      </c>
      <c r="D264" s="19" t="str">
        <f>IF(ISBLANK('Contactos Agua Celica'!H261),"",MID('Contactos Agua Celica'!H261,1,FIND(",",'Contactos Agua Celica'!H261,1)-1))</f>
        <v/>
      </c>
      <c r="E264" s="19" t="str">
        <f>IF(ISBLANK('Contactos Agua Celica'!H261),"",MID('Contactos Agua Celica'!H261,FIND(",",'Contactos Agua Celica'!H261,1)+1,LEN('Contactos Agua Celica'!H261)))</f>
        <v/>
      </c>
      <c r="F264" s="11" t="s">
        <v>1260</v>
      </c>
      <c r="G264" s="19" t="str">
        <f>IF(ISBLANK('Contactos Agua Celica'!F261)," ","false")</f>
        <v>false</v>
      </c>
      <c r="H264" s="19" t="str">
        <f>IF(ISBLANK('Contactos Agua Celica'!F261)," ","0")</f>
        <v>0</v>
      </c>
      <c r="I264" s="19" t="str">
        <f>IF(ISBLANK('Contactos Agua Celica'!F261)," ","0")</f>
        <v>0</v>
      </c>
    </row>
    <row r="265" spans="1:9" x14ac:dyDescent="0.3">
      <c r="A265" s="19" t="s">
        <v>879</v>
      </c>
      <c r="B265" s="20" t="str">
        <f>IF(ISBLANK('Contactos Agua Celica'!F262),"",'Contactos Agua Celica'!F262)</f>
        <v>Leva</v>
      </c>
      <c r="C265" s="18" t="str">
        <f>IF(ISBLANK('Contactos Agua Celica'!G262),"",'Contactos Agua Celica'!G262)</f>
        <v>+593 95 988 0770</v>
      </c>
      <c r="D265" s="19" t="str">
        <f>IF(ISBLANK('Contactos Agua Celica'!H262),"",MID('Contactos Agua Celica'!H262,1,FIND(",",'Contactos Agua Celica'!H262,1)-1))</f>
        <v/>
      </c>
      <c r="E265" s="19" t="str">
        <f>IF(ISBLANK('Contactos Agua Celica'!H262),"",MID('Contactos Agua Celica'!H262,FIND(",",'Contactos Agua Celica'!H262,1)+1,LEN('Contactos Agua Celica'!H262)))</f>
        <v/>
      </c>
      <c r="F265" s="11" t="s">
        <v>1256</v>
      </c>
      <c r="G265" s="19" t="str">
        <f>IF(ISBLANK('Contactos Agua Celica'!F262)," ","false")</f>
        <v>false</v>
      </c>
      <c r="H265" s="19" t="str">
        <f>IF(ISBLANK('Contactos Agua Celica'!F262)," ","0")</f>
        <v>0</v>
      </c>
      <c r="I265" s="19" t="str">
        <f>IF(ISBLANK('Contactos Agua Celica'!F262)," ","0")</f>
        <v>0</v>
      </c>
    </row>
    <row r="266" spans="1:9" x14ac:dyDescent="0.3">
      <c r="A266" s="19" t="s">
        <v>880</v>
      </c>
      <c r="B266" s="20" t="str">
        <f>IF(ISBLANK('Contactos Agua Celica'!F263),"",'Contactos Agua Celica'!F263)</f>
        <v>Licorera celestial</v>
      </c>
      <c r="C266" s="18" t="str">
        <f>IF(ISBLANK('Contactos Agua Celica'!G263),"",'Contactos Agua Celica'!G263)</f>
        <v>+593 98 676 4037</v>
      </c>
      <c r="D266" s="19" t="str">
        <f>IF(ISBLANK('Contactos Agua Celica'!H263),"",MID('Contactos Agua Celica'!H263,1,FIND(",",'Contactos Agua Celica'!H263,1)-1))</f>
        <v>-4.107487977431372</v>
      </c>
      <c r="E266" s="19" t="str">
        <f>IF(ISBLANK('Contactos Agua Celica'!H263),"",MID('Contactos Agua Celica'!H263,FIND(",",'Contactos Agua Celica'!H263,1)+1,LEN('Contactos Agua Celica'!H263)))</f>
        <v xml:space="preserve"> -79.9539088100774</v>
      </c>
      <c r="F266" s="11" t="s">
        <v>1256</v>
      </c>
      <c r="G266" s="19" t="str">
        <f>IF(ISBLANK('Contactos Agua Celica'!F263)," ","false")</f>
        <v>false</v>
      </c>
      <c r="H266" s="19" t="str">
        <f>IF(ISBLANK('Contactos Agua Celica'!F263)," ","0")</f>
        <v>0</v>
      </c>
      <c r="I266" s="19" t="str">
        <f>IF(ISBLANK('Contactos Agua Celica'!F263)," ","0")</f>
        <v>0</v>
      </c>
    </row>
    <row r="267" spans="1:9" x14ac:dyDescent="0.3">
      <c r="A267" s="19" t="s">
        <v>881</v>
      </c>
      <c r="B267" s="20" t="str">
        <f>IF(ISBLANK('Contactos Agua Celica'!F264),"",'Contactos Agua Celica'!F264)</f>
        <v>Licoreria</v>
      </c>
      <c r="C267" s="18" t="str">
        <f>IF(ISBLANK('Contactos Agua Celica'!G264),"",'Contactos Agua Celica'!G264)</f>
        <v>0998743530</v>
      </c>
      <c r="D267" s="19" t="str">
        <f>IF(ISBLANK('Contactos Agua Celica'!H264),"",MID('Contactos Agua Celica'!H264,1,FIND(",",'Contactos Agua Celica'!H264,1)-1))</f>
        <v/>
      </c>
      <c r="E267" s="19" t="str">
        <f>IF(ISBLANK('Contactos Agua Celica'!H264),"",MID('Contactos Agua Celica'!H264,FIND(",",'Contactos Agua Celica'!H264,1)+1,LEN('Contactos Agua Celica'!H264)))</f>
        <v/>
      </c>
      <c r="F267" s="11" t="s">
        <v>1267</v>
      </c>
      <c r="G267" s="19" t="str">
        <f>IF(ISBLANK('Contactos Agua Celica'!F264)," ","false")</f>
        <v>false</v>
      </c>
      <c r="H267" s="19" t="str">
        <f>IF(ISBLANK('Contactos Agua Celica'!F264)," ","0")</f>
        <v>0</v>
      </c>
      <c r="I267" s="19" t="str">
        <f>IF(ISBLANK('Contactos Agua Celica'!F264)," ","0")</f>
        <v>0</v>
      </c>
    </row>
    <row r="268" spans="1:9" x14ac:dyDescent="0.3">
      <c r="A268" s="19" t="s">
        <v>882</v>
      </c>
      <c r="B268" s="20" t="str">
        <f>IF(ISBLANK('Contactos Agua Celica'!F265),"",'Contactos Agua Celica'!F265)</f>
        <v>Lilia Btte</v>
      </c>
      <c r="C268" s="18" t="str">
        <f>IF(ISBLANK('Contactos Agua Celica'!G265),"",'Contactos Agua Celica'!G265)</f>
        <v>0988508970</v>
      </c>
      <c r="D268" s="19" t="str">
        <f>IF(ISBLANK('Contactos Agua Celica'!H265),"",MID('Contactos Agua Celica'!H265,1,FIND(",",'Contactos Agua Celica'!H265,1)-1))</f>
        <v>-4.103366777701993</v>
      </c>
      <c r="E268" s="19" t="str">
        <f>IF(ISBLANK('Contactos Agua Celica'!H265),"",MID('Contactos Agua Celica'!H265,FIND(",",'Contactos Agua Celica'!H265,1)+1,LEN('Contactos Agua Celica'!H265)))</f>
        <v xml:space="preserve"> -79.95424950550282</v>
      </c>
      <c r="F268" s="11" t="s">
        <v>1256</v>
      </c>
      <c r="G268" s="19" t="str">
        <f>IF(ISBLANK('Contactos Agua Celica'!F265)," ","false")</f>
        <v>false</v>
      </c>
      <c r="H268" s="19" t="str">
        <f>IF(ISBLANK('Contactos Agua Celica'!F265)," ","0")</f>
        <v>0</v>
      </c>
      <c r="I268" s="19" t="str">
        <f>IF(ISBLANK('Contactos Agua Celica'!F265)," ","0")</f>
        <v>0</v>
      </c>
    </row>
    <row r="269" spans="1:9" x14ac:dyDescent="0.3">
      <c r="A269" s="19" t="s">
        <v>883</v>
      </c>
      <c r="B269" s="20" t="str">
        <f>IF(ISBLANK('Contactos Agua Celica'!F266),"",'Contactos Agua Celica'!F266)</f>
        <v>Liliana Tandazo</v>
      </c>
      <c r="C269" s="18" t="str">
        <f>IF(ISBLANK('Contactos Agua Celica'!G266),"",'Contactos Agua Celica'!G266)</f>
        <v>+593 99 450 3272</v>
      </c>
      <c r="D269" s="19" t="str">
        <f>IF(ISBLANK('Contactos Agua Celica'!H266),"",MID('Contactos Agua Celica'!H266,1,FIND(",",'Contactos Agua Celica'!H266,1)-1))</f>
        <v/>
      </c>
      <c r="E269" s="19" t="str">
        <f>IF(ISBLANK('Contactos Agua Celica'!H266),"",MID('Contactos Agua Celica'!H266,FIND(",",'Contactos Agua Celica'!H266,1)+1,LEN('Contactos Agua Celica'!H266)))</f>
        <v/>
      </c>
      <c r="F269" s="11" t="s">
        <v>1260</v>
      </c>
      <c r="G269" s="19" t="str">
        <f>IF(ISBLANK('Contactos Agua Celica'!F266)," ","false")</f>
        <v>false</v>
      </c>
      <c r="H269" s="19" t="str">
        <f>IF(ISBLANK('Contactos Agua Celica'!F266)," ","0")</f>
        <v>0</v>
      </c>
      <c r="I269" s="19" t="str">
        <f>IF(ISBLANK('Contactos Agua Celica'!F266)," ","0")</f>
        <v>0</v>
      </c>
    </row>
    <row r="270" spans="1:9" x14ac:dyDescent="0.3">
      <c r="A270" s="19" t="s">
        <v>884</v>
      </c>
      <c r="B270" s="20" t="str">
        <f>IF(ISBLANK('Contactos Agua Celica'!F267),"",'Contactos Agua Celica'!F267)</f>
        <v>Lillan Grisales</v>
      </c>
      <c r="C270" s="18" t="str">
        <f>IF(ISBLANK('Contactos Agua Celica'!G267),"",'Contactos Agua Celica'!G267)</f>
        <v>+593 98 744 9382</v>
      </c>
      <c r="D270" s="19" t="str">
        <f>IF(ISBLANK('Contactos Agua Celica'!H267),"",MID('Contactos Agua Celica'!H267,1,FIND(",",'Contactos Agua Celica'!H267,1)-1))</f>
        <v/>
      </c>
      <c r="E270" s="19" t="str">
        <f>IF(ISBLANK('Contactos Agua Celica'!H267),"",MID('Contactos Agua Celica'!H267,FIND(",",'Contactos Agua Celica'!H267,1)+1,LEN('Contactos Agua Celica'!H267)))</f>
        <v/>
      </c>
      <c r="F270" s="11" t="s">
        <v>1259</v>
      </c>
      <c r="G270" s="19" t="str">
        <f>IF(ISBLANK('Contactos Agua Celica'!F267)," ","false")</f>
        <v>false</v>
      </c>
      <c r="H270" s="19" t="str">
        <f>IF(ISBLANK('Contactos Agua Celica'!F267)," ","0")</f>
        <v>0</v>
      </c>
      <c r="I270" s="19" t="str">
        <f>IF(ISBLANK('Contactos Agua Celica'!F267)," ","0")</f>
        <v>0</v>
      </c>
    </row>
    <row r="271" spans="1:9" x14ac:dyDescent="0.3">
      <c r="A271" s="19" t="s">
        <v>885</v>
      </c>
      <c r="B271" s="20" t="str">
        <f>IF(ISBLANK('Contactos Agua Celica'!F268),"",'Contactos Agua Celica'!F268)</f>
        <v>Linda Bustamante</v>
      </c>
      <c r="C271" s="18" t="str">
        <f>IF(ISBLANK('Contactos Agua Celica'!G268),"",'Contactos Agua Celica'!G268)</f>
        <v>+593 98 265 7533</v>
      </c>
      <c r="D271" s="19" t="str">
        <f>IF(ISBLANK('Contactos Agua Celica'!H268),"",MID('Contactos Agua Celica'!H268,1,FIND(",",'Contactos Agua Celica'!H268,1)-1))</f>
        <v>-4.101760840885796</v>
      </c>
      <c r="E271" s="19" t="str">
        <f>IF(ISBLANK('Contactos Agua Celica'!H268),"",MID('Contactos Agua Celica'!H268,FIND(",",'Contactos Agua Celica'!H268,1)+1,LEN('Contactos Agua Celica'!H268)))</f>
        <v xml:space="preserve"> -79.95537225807838</v>
      </c>
      <c r="F271" s="11" t="s">
        <v>1267</v>
      </c>
      <c r="G271" s="19" t="str">
        <f>IF(ISBLANK('Contactos Agua Celica'!F268)," ","false")</f>
        <v>false</v>
      </c>
      <c r="H271" s="19" t="str">
        <f>IF(ISBLANK('Contactos Agua Celica'!F268)," ","0")</f>
        <v>0</v>
      </c>
      <c r="I271" s="19" t="str">
        <f>IF(ISBLANK('Contactos Agua Celica'!F268)," ","0")</f>
        <v>0</v>
      </c>
    </row>
    <row r="272" spans="1:9" x14ac:dyDescent="0.3">
      <c r="A272" s="19" t="s">
        <v>886</v>
      </c>
      <c r="B272" s="20" t="str">
        <f>IF(ISBLANK('Contactos Agua Celica'!F269),"",'Contactos Agua Celica'!F269)</f>
        <v>Lizardo</v>
      </c>
      <c r="C272" s="18" t="str">
        <f>IF(ISBLANK('Contactos Agua Celica'!G269),"",'Contactos Agua Celica'!G269)</f>
        <v>+593 95 862 5434</v>
      </c>
      <c r="D272" s="19" t="str">
        <f>IF(ISBLANK('Contactos Agua Celica'!H269),"",MID('Contactos Agua Celica'!H269,1,FIND(",",'Contactos Agua Celica'!H269,1)-1))</f>
        <v/>
      </c>
      <c r="E272" s="19" t="str">
        <f>IF(ISBLANK('Contactos Agua Celica'!H269),"",MID('Contactos Agua Celica'!H269,FIND(",",'Contactos Agua Celica'!H269,1)+1,LEN('Contactos Agua Celica'!H269)))</f>
        <v/>
      </c>
      <c r="F272" s="11" t="s">
        <v>1267</v>
      </c>
      <c r="G272" s="19" t="str">
        <f>IF(ISBLANK('Contactos Agua Celica'!F269)," ","false")</f>
        <v>false</v>
      </c>
      <c r="H272" s="19" t="str">
        <f>IF(ISBLANK('Contactos Agua Celica'!F269)," ","0")</f>
        <v>0</v>
      </c>
      <c r="I272" s="19" t="str">
        <f>IF(ISBLANK('Contactos Agua Celica'!F269)," ","0")</f>
        <v>0</v>
      </c>
    </row>
    <row r="273" spans="1:9" x14ac:dyDescent="0.3">
      <c r="A273" s="19" t="s">
        <v>887</v>
      </c>
      <c r="B273" s="20" t="str">
        <f>IF(ISBLANK('Contactos Agua Celica'!F270),"",'Contactos Agua Celica'!F270)</f>
        <v>Lolita Poma</v>
      </c>
      <c r="C273" s="18" t="str">
        <f>IF(ISBLANK('Contactos Agua Celica'!G270),"",'Contactos Agua Celica'!G270)</f>
        <v>+593 99 720 9143</v>
      </c>
      <c r="D273" s="19" t="str">
        <f>IF(ISBLANK('Contactos Agua Celica'!H270),"",MID('Contactos Agua Celica'!H270,1,FIND(",",'Contactos Agua Celica'!H270,1)-1))</f>
        <v>-4.103405688101991</v>
      </c>
      <c r="E273" s="19" t="str">
        <f>IF(ISBLANK('Contactos Agua Celica'!H270),"",MID('Contactos Agua Celica'!H270,FIND(",",'Contactos Agua Celica'!H270,1)+1,LEN('Contactos Agua Celica'!H270)))</f>
        <v xml:space="preserve"> -79.9543895783145</v>
      </c>
      <c r="F273" s="11" t="s">
        <v>1267</v>
      </c>
      <c r="G273" s="19" t="str">
        <f>IF(ISBLANK('Contactos Agua Celica'!F270)," ","false")</f>
        <v>false</v>
      </c>
      <c r="H273" s="19" t="str">
        <f>IF(ISBLANK('Contactos Agua Celica'!F270)," ","0")</f>
        <v>0</v>
      </c>
      <c r="I273" s="19" t="str">
        <f>IF(ISBLANK('Contactos Agua Celica'!F270)," ","0")</f>
        <v>0</v>
      </c>
    </row>
    <row r="274" spans="1:9" x14ac:dyDescent="0.3">
      <c r="A274" s="19" t="s">
        <v>888</v>
      </c>
      <c r="B274" s="20" t="str">
        <f>IF(ISBLANK('Contactos Agua Celica'!F271),"",'Contactos Agua Celica'!F271)</f>
        <v>Lorgia Jumbo</v>
      </c>
      <c r="C274" s="18" t="str">
        <f>IF(ISBLANK('Contactos Agua Celica'!G271),"",'Contactos Agua Celica'!G271)</f>
        <v>+593 96 200 5484</v>
      </c>
      <c r="D274" s="19" t="str">
        <f>IF(ISBLANK('Contactos Agua Celica'!H271),"",MID('Contactos Agua Celica'!H271,1,FIND(",",'Contactos Agua Celica'!H271,1)-1))</f>
        <v/>
      </c>
      <c r="E274" s="19" t="str">
        <f>IF(ISBLANK('Contactos Agua Celica'!H271),"",MID('Contactos Agua Celica'!H271,FIND(",",'Contactos Agua Celica'!H271,1)+1,LEN('Contactos Agua Celica'!H271)))</f>
        <v/>
      </c>
      <c r="F274" s="11" t="s">
        <v>1267</v>
      </c>
      <c r="G274" s="19" t="str">
        <f>IF(ISBLANK('Contactos Agua Celica'!F271)," ","false")</f>
        <v>false</v>
      </c>
      <c r="H274" s="19" t="str">
        <f>IF(ISBLANK('Contactos Agua Celica'!F271)," ","0")</f>
        <v>0</v>
      </c>
      <c r="I274" s="19" t="str">
        <f>IF(ISBLANK('Contactos Agua Celica'!F271)," ","0")</f>
        <v>0</v>
      </c>
    </row>
    <row r="275" spans="1:9" x14ac:dyDescent="0.3">
      <c r="A275" s="19" t="s">
        <v>889</v>
      </c>
      <c r="B275" s="20" t="str">
        <f>IF(ISBLANK('Contactos Agua Celica'!F272),"",'Contactos Agua Celica'!F272)</f>
        <v>Lorgia Jumbo Tienda Amazonas</v>
      </c>
      <c r="C275" s="18" t="str">
        <f>IF(ISBLANK('Contactos Agua Celica'!G272),"",'Contactos Agua Celica'!G272)</f>
        <v>+593 99 221 0750</v>
      </c>
      <c r="D275" s="19" t="str">
        <f>IF(ISBLANK('Contactos Agua Celica'!H272),"",MID('Contactos Agua Celica'!H272,1,FIND(",",'Contactos Agua Celica'!H272,1)-1))</f>
        <v>-4.108125631538255</v>
      </c>
      <c r="E275" s="19" t="str">
        <f>IF(ISBLANK('Contactos Agua Celica'!H272),"",MID('Contactos Agua Celica'!H272,FIND(",",'Contactos Agua Celica'!H272,1)+1,LEN('Contactos Agua Celica'!H272)))</f>
        <v xml:space="preserve"> -79.95403469898493</v>
      </c>
      <c r="F275" s="11" t="s">
        <v>1267</v>
      </c>
      <c r="G275" s="19" t="str">
        <f>IF(ISBLANK('Contactos Agua Celica'!F272)," ","false")</f>
        <v>false</v>
      </c>
      <c r="H275" s="19" t="str">
        <f>IF(ISBLANK('Contactos Agua Celica'!F272)," ","0")</f>
        <v>0</v>
      </c>
      <c r="I275" s="19" t="str">
        <f>IF(ISBLANK('Contactos Agua Celica'!F272)," ","0")</f>
        <v>0</v>
      </c>
    </row>
    <row r="276" spans="1:9" x14ac:dyDescent="0.3">
      <c r="A276" s="19" t="s">
        <v>890</v>
      </c>
      <c r="B276" s="20" t="str">
        <f>IF(ISBLANK('Contactos Agua Celica'!F273),"",'Contactos Agua Celica'!F273)</f>
        <v>Lucarqui 2</v>
      </c>
      <c r="C276" s="18" t="str">
        <f>IF(ISBLANK('Contactos Agua Celica'!G273),"",'Contactos Agua Celica'!G273)</f>
        <v>+593 96 208 9993</v>
      </c>
      <c r="D276" s="19" t="str">
        <f>IF(ISBLANK('Contactos Agua Celica'!H273),"",MID('Contactos Agua Celica'!H273,1,FIND(",",'Contactos Agua Celica'!H273,1)-1))</f>
        <v/>
      </c>
      <c r="E276" s="19" t="str">
        <f>IF(ISBLANK('Contactos Agua Celica'!H273),"",MID('Contactos Agua Celica'!H273,FIND(",",'Contactos Agua Celica'!H273,1)+1,LEN('Contactos Agua Celica'!H273)))</f>
        <v/>
      </c>
      <c r="F276" s="11" t="s">
        <v>1267</v>
      </c>
      <c r="G276" s="19" t="str">
        <f>IF(ISBLANK('Contactos Agua Celica'!F273)," ","false")</f>
        <v>false</v>
      </c>
      <c r="H276" s="19" t="str">
        <f>IF(ISBLANK('Contactos Agua Celica'!F273)," ","0")</f>
        <v>0</v>
      </c>
      <c r="I276" s="19" t="str">
        <f>IF(ISBLANK('Contactos Agua Celica'!F273)," ","0")</f>
        <v>0</v>
      </c>
    </row>
    <row r="277" spans="1:9" x14ac:dyDescent="0.3">
      <c r="A277" s="19" t="s">
        <v>891</v>
      </c>
      <c r="B277" s="20" t="str">
        <f>IF(ISBLANK('Contactos Agua Celica'!F274),"",'Contactos Agua Celica'!F274)</f>
        <v>Luchita Chalan</v>
      </c>
      <c r="C277" s="18" t="str">
        <f>IF(ISBLANK('Contactos Agua Celica'!G274),"",'Contactos Agua Celica'!G274)</f>
        <v>0995124833</v>
      </c>
      <c r="D277" s="19" t="str">
        <f>IF(ISBLANK('Contactos Agua Celica'!H274),"",MID('Contactos Agua Celica'!H274,1,FIND(",",'Contactos Agua Celica'!H274,1)-1))</f>
        <v>-4.103412621625551</v>
      </c>
      <c r="E277" s="19" t="str">
        <f>IF(ISBLANK('Contactos Agua Celica'!H274),"",MID('Contactos Agua Celica'!H274,FIND(",",'Contactos Agua Celica'!H274,1)+1,LEN('Contactos Agua Celica'!H274)))</f>
        <v xml:space="preserve"> -79.95507879623655</v>
      </c>
      <c r="F277" s="11" t="s">
        <v>1256</v>
      </c>
      <c r="G277" s="19" t="str">
        <f>IF(ISBLANK('Contactos Agua Celica'!F274)," ","false")</f>
        <v>false</v>
      </c>
      <c r="H277" s="19" t="str">
        <f>IF(ISBLANK('Contactos Agua Celica'!F274)," ","0")</f>
        <v>0</v>
      </c>
      <c r="I277" s="19" t="str">
        <f>IF(ISBLANK('Contactos Agua Celica'!F274)," ","0")</f>
        <v>0</v>
      </c>
    </row>
    <row r="278" spans="1:9" x14ac:dyDescent="0.3">
      <c r="A278" s="19" t="s">
        <v>892</v>
      </c>
      <c r="B278" s="20" t="str">
        <f>IF(ISBLANK('Contactos Agua Celica'!F275),"",'Contactos Agua Celica'!F275)</f>
        <v>Lucho Grand</v>
      </c>
      <c r="C278" s="18" t="str">
        <f>IF(ISBLANK('Contactos Agua Celica'!G275),"",'Contactos Agua Celica'!G275)</f>
        <v>097 920 2190</v>
      </c>
      <c r="D278" s="19" t="str">
        <f>IF(ISBLANK('Contactos Agua Celica'!H275),"",MID('Contactos Agua Celica'!H275,1,FIND(",",'Contactos Agua Celica'!H275,1)-1))</f>
        <v>-4.103438253019314</v>
      </c>
      <c r="E278" s="19" t="str">
        <f>IF(ISBLANK('Contactos Agua Celica'!H275),"",MID('Contactos Agua Celica'!H275,FIND(",",'Contactos Agua Celica'!H275,1)+1,LEN('Contactos Agua Celica'!H275)))</f>
        <v xml:space="preserve"> -79.95490983354263</v>
      </c>
      <c r="F278" s="11" t="s">
        <v>1267</v>
      </c>
      <c r="G278" s="19" t="str">
        <f>IF(ISBLANK('Contactos Agua Celica'!F275)," ","false")</f>
        <v>false</v>
      </c>
      <c r="H278" s="19" t="str">
        <f>IF(ISBLANK('Contactos Agua Celica'!F275)," ","0")</f>
        <v>0</v>
      </c>
      <c r="I278" s="19" t="str">
        <f>IF(ISBLANK('Contactos Agua Celica'!F275)," ","0")</f>
        <v>0</v>
      </c>
    </row>
    <row r="279" spans="1:9" x14ac:dyDescent="0.3">
      <c r="A279" s="19" t="s">
        <v>893</v>
      </c>
      <c r="B279" s="20" t="str">
        <f>IF(ISBLANK('Contactos Agua Celica'!F276),"",'Contactos Agua Celica'!F276)</f>
        <v>Lucho Jaya</v>
      </c>
      <c r="C279" s="18" t="str">
        <f>IF(ISBLANK('Contactos Agua Celica'!G276),"",'Contactos Agua Celica'!G276)</f>
        <v>0992107712</v>
      </c>
      <c r="D279" s="19" t="str">
        <f>IF(ISBLANK('Contactos Agua Celica'!H276),"",MID('Contactos Agua Celica'!H276,1,FIND(",",'Contactos Agua Celica'!H276,1)-1))</f>
        <v/>
      </c>
      <c r="E279" s="19" t="str">
        <f>IF(ISBLANK('Contactos Agua Celica'!H276),"",MID('Contactos Agua Celica'!H276,FIND(",",'Contactos Agua Celica'!H276,1)+1,LEN('Contactos Agua Celica'!H276)))</f>
        <v/>
      </c>
      <c r="F279" s="11" t="s">
        <v>1267</v>
      </c>
      <c r="G279" s="19" t="str">
        <f>IF(ISBLANK('Contactos Agua Celica'!F276)," ","false")</f>
        <v>false</v>
      </c>
      <c r="H279" s="19" t="str">
        <f>IF(ISBLANK('Contactos Agua Celica'!F276)," ","0")</f>
        <v>0</v>
      </c>
      <c r="I279" s="19" t="str">
        <f>IF(ISBLANK('Contactos Agua Celica'!F276)," ","0")</f>
        <v>0</v>
      </c>
    </row>
    <row r="280" spans="1:9" x14ac:dyDescent="0.3">
      <c r="A280" s="19" t="s">
        <v>894</v>
      </c>
      <c r="B280" s="20" t="str">
        <f>IF(ISBLANK('Contactos Agua Celica'!F277),"",'Contactos Agua Celica'!F277)</f>
        <v>Luis Conde</v>
      </c>
      <c r="C280" s="18" t="str">
        <f>IF(ISBLANK('Contactos Agua Celica'!G277),"",'Contactos Agua Celica'!G277)</f>
        <v>+593 99 939 5862</v>
      </c>
      <c r="D280" s="19" t="str">
        <f>IF(ISBLANK('Contactos Agua Celica'!H277),"",MID('Contactos Agua Celica'!H277,1,FIND(",",'Contactos Agua Celica'!H277,1)-1))</f>
        <v>-4.103529973019165</v>
      </c>
      <c r="E280" s="19" t="str">
        <f>IF(ISBLANK('Contactos Agua Celica'!H277),"",MID('Contactos Agua Celica'!H277,FIND(",",'Contactos Agua Celica'!H277,1)+1,LEN('Contactos Agua Celica'!H277)))</f>
        <v xml:space="preserve"> -79.95472157428792</v>
      </c>
      <c r="F280" s="11" t="s">
        <v>1253</v>
      </c>
      <c r="G280" s="19" t="str">
        <f>IF(ISBLANK('Contactos Agua Celica'!F277)," ","false")</f>
        <v>false</v>
      </c>
      <c r="H280" s="19" t="str">
        <f>IF(ISBLANK('Contactos Agua Celica'!F277)," ","0")</f>
        <v>0</v>
      </c>
      <c r="I280" s="19" t="str">
        <f>IF(ISBLANK('Contactos Agua Celica'!F277)," ","0")</f>
        <v>0</v>
      </c>
    </row>
    <row r="281" spans="1:9" x14ac:dyDescent="0.3">
      <c r="A281" s="19" t="s">
        <v>895</v>
      </c>
      <c r="B281" s="20" t="str">
        <f>IF(ISBLANK('Contactos Agua Celica'!F278),"",'Contactos Agua Celica'!F278)</f>
        <v>Luis Ordoñez</v>
      </c>
      <c r="C281" s="18" t="str">
        <f>IF(ISBLANK('Contactos Agua Celica'!G278),"",'Contactos Agua Celica'!G278)</f>
        <v>+593 98 003 0779</v>
      </c>
      <c r="D281" s="19" t="str">
        <f>IF(ISBLANK('Contactos Agua Celica'!H278),"",MID('Contactos Agua Celica'!H278,1,FIND(",",'Contactos Agua Celica'!H278,1)-1))</f>
        <v/>
      </c>
      <c r="E281" s="19" t="str">
        <f>IF(ISBLANK('Contactos Agua Celica'!H278),"",MID('Contactos Agua Celica'!H278,FIND(",",'Contactos Agua Celica'!H278,1)+1,LEN('Contactos Agua Celica'!H278)))</f>
        <v/>
      </c>
      <c r="F281" s="11" t="s">
        <v>1267</v>
      </c>
      <c r="G281" s="19" t="str">
        <f>IF(ISBLANK('Contactos Agua Celica'!F278)," ","false")</f>
        <v>false</v>
      </c>
      <c r="H281" s="19" t="str">
        <f>IF(ISBLANK('Contactos Agua Celica'!F278)," ","0")</f>
        <v>0</v>
      </c>
      <c r="I281" s="19" t="str">
        <f>IF(ISBLANK('Contactos Agua Celica'!F278)," ","0")</f>
        <v>0</v>
      </c>
    </row>
    <row r="282" spans="1:9" x14ac:dyDescent="0.3">
      <c r="A282" s="19" t="s">
        <v>896</v>
      </c>
      <c r="B282" s="20" t="str">
        <f>IF(ISBLANK('Contactos Agua Celica'!F279),"",'Contactos Agua Celica'!F279)</f>
        <v>LuisG Villa 229</v>
      </c>
      <c r="C282" s="18" t="str">
        <f>IF(ISBLANK('Contactos Agua Celica'!G279),"",'Contactos Agua Celica'!G279)</f>
        <v>+593 96 293 0913</v>
      </c>
      <c r="D282" s="19" t="str">
        <f>IF(ISBLANK('Contactos Agua Celica'!H279),"",MID('Contactos Agua Celica'!H279,1,FIND(",",'Contactos Agua Celica'!H279,1)-1))</f>
        <v>-4.098883066371723</v>
      </c>
      <c r="E282" s="19" t="str">
        <f>IF(ISBLANK('Contactos Agua Celica'!H279),"",MID('Contactos Agua Celica'!H279,FIND(",",'Contactos Agua Celica'!H279,1)+1,LEN('Contactos Agua Celica'!H279)))</f>
        <v xml:space="preserve"> -79.95854535515672</v>
      </c>
      <c r="F282" s="11" t="s">
        <v>1267</v>
      </c>
      <c r="G282" s="19" t="str">
        <f>IF(ISBLANK('Contactos Agua Celica'!F279)," ","false")</f>
        <v>false</v>
      </c>
      <c r="H282" s="19" t="str">
        <f>IF(ISBLANK('Contactos Agua Celica'!F279)," ","0")</f>
        <v>0</v>
      </c>
      <c r="I282" s="19" t="str">
        <f>IF(ISBLANK('Contactos Agua Celica'!F279)," ","0")</f>
        <v>0</v>
      </c>
    </row>
    <row r="283" spans="1:9" x14ac:dyDescent="0.3">
      <c r="A283" s="19" t="s">
        <v>897</v>
      </c>
      <c r="B283" s="20" t="str">
        <f>IF(ISBLANK('Contactos Agua Celica'!F280),"",'Contactos Agua Celica'!F280)</f>
        <v>Luz Yaguache</v>
      </c>
      <c r="C283" s="18" t="str">
        <f>IF(ISBLANK('Contactos Agua Celica'!G280),"",'Contactos Agua Celica'!G280)</f>
        <v>+593 99 645 8354</v>
      </c>
      <c r="D283" s="19" t="str">
        <f>IF(ISBLANK('Contactos Agua Celica'!H280),"",MID('Contactos Agua Celica'!H280,1,FIND(",",'Contactos Agua Celica'!H280,1)-1))</f>
        <v>-4.103676816113123</v>
      </c>
      <c r="E283" s="19" t="str">
        <f>IF(ISBLANK('Contactos Agua Celica'!H280),"",MID('Contactos Agua Celica'!H280,FIND(",",'Contactos Agua Celica'!H280,1)+1,LEN('Contactos Agua Celica'!H280)))</f>
        <v xml:space="preserve"> -79.95587508249817</v>
      </c>
      <c r="F283" s="11" t="s">
        <v>1267</v>
      </c>
      <c r="G283" s="19" t="str">
        <f>IF(ISBLANK('Contactos Agua Celica'!F280)," ","false")</f>
        <v>false</v>
      </c>
      <c r="H283" s="19" t="str">
        <f>IF(ISBLANK('Contactos Agua Celica'!F280)," ","0")</f>
        <v>0</v>
      </c>
      <c r="I283" s="19" t="str">
        <f>IF(ISBLANK('Contactos Agua Celica'!F280)," ","0")</f>
        <v>0</v>
      </c>
    </row>
    <row r="284" spans="1:9" x14ac:dyDescent="0.3">
      <c r="A284" s="19" t="s">
        <v>898</v>
      </c>
      <c r="B284" s="20" t="str">
        <f>IF(ISBLANK('Contactos Agua Celica'!F281),"",'Contactos Agua Celica'!F281)</f>
        <v>Maestro Over Gonza</v>
      </c>
      <c r="C284" s="18" t="str">
        <f>IF(ISBLANK('Contactos Agua Celica'!G281),"",'Contactos Agua Celica'!G281)</f>
        <v>098 578 7590</v>
      </c>
      <c r="D284" s="19" t="str">
        <f>IF(ISBLANK('Contactos Agua Celica'!H281),"",MID('Contactos Agua Celica'!H281,1,FIND(",",'Contactos Agua Celica'!H281,1)-1))</f>
        <v/>
      </c>
      <c r="E284" s="19" t="str">
        <f>IF(ISBLANK('Contactos Agua Celica'!H281),"",MID('Contactos Agua Celica'!H281,FIND(",",'Contactos Agua Celica'!H281,1)+1,LEN('Contactos Agua Celica'!H281)))</f>
        <v/>
      </c>
      <c r="F284" s="11" t="s">
        <v>1267</v>
      </c>
      <c r="G284" s="19" t="str">
        <f>IF(ISBLANK('Contactos Agua Celica'!F281)," ","false")</f>
        <v>false</v>
      </c>
      <c r="H284" s="19" t="str">
        <f>IF(ISBLANK('Contactos Agua Celica'!F281)," ","0")</f>
        <v>0</v>
      </c>
      <c r="I284" s="19" t="str">
        <f>IF(ISBLANK('Contactos Agua Celica'!F281)," ","0")</f>
        <v>0</v>
      </c>
    </row>
    <row r="285" spans="1:9" x14ac:dyDescent="0.3">
      <c r="A285" s="19" t="s">
        <v>899</v>
      </c>
      <c r="B285" s="20" t="str">
        <f>IF(ISBLANK('Contactos Agua Celica'!F282),"",'Contactos Agua Celica'!F282)</f>
        <v>Manuel Jaya</v>
      </c>
      <c r="C285" s="18" t="str">
        <f>IF(ISBLANK('Contactos Agua Celica'!G282),"",'Contactos Agua Celica'!G282)</f>
        <v>+593 99 640 9593</v>
      </c>
      <c r="D285" s="19" t="str">
        <f>IF(ISBLANK('Contactos Agua Celica'!H282),"",MID('Contactos Agua Celica'!H282,1,FIND(",",'Contactos Agua Celica'!H282,1)-1))</f>
        <v/>
      </c>
      <c r="E285" s="19" t="str">
        <f>IF(ISBLANK('Contactos Agua Celica'!H282),"",MID('Contactos Agua Celica'!H282,FIND(",",'Contactos Agua Celica'!H282,1)+1,LEN('Contactos Agua Celica'!H282)))</f>
        <v/>
      </c>
      <c r="F285" s="11" t="s">
        <v>1255</v>
      </c>
      <c r="G285" s="19" t="str">
        <f>IF(ISBLANK('Contactos Agua Celica'!F282)," ","false")</f>
        <v>false</v>
      </c>
      <c r="H285" s="19" t="str">
        <f>IF(ISBLANK('Contactos Agua Celica'!F282)," ","0")</f>
        <v>0</v>
      </c>
      <c r="I285" s="19" t="str">
        <f>IF(ISBLANK('Contactos Agua Celica'!F282)," ","0")</f>
        <v>0</v>
      </c>
    </row>
    <row r="286" spans="1:9" x14ac:dyDescent="0.3">
      <c r="A286" s="19" t="s">
        <v>900</v>
      </c>
      <c r="B286" s="20" t="str">
        <f>IF(ISBLANK('Contactos Agua Celica'!F283),"",'Contactos Agua Celica'!F283)</f>
        <v>Manuel Jaya JC</v>
      </c>
      <c r="C286" s="18" t="str">
        <f>IF(ISBLANK('Contactos Agua Celica'!G283),"",'Contactos Agua Celica'!G283)</f>
        <v>+593 96 185 4605</v>
      </c>
      <c r="D286" s="19" t="str">
        <f>IF(ISBLANK('Contactos Agua Celica'!H283),"",MID('Contactos Agua Celica'!H283,1,FIND(",",'Contactos Agua Celica'!H283,1)-1))</f>
        <v/>
      </c>
      <c r="E286" s="19" t="str">
        <f>IF(ISBLANK('Contactos Agua Celica'!H283),"",MID('Contactos Agua Celica'!H283,FIND(",",'Contactos Agua Celica'!H283,1)+1,LEN('Contactos Agua Celica'!H283)))</f>
        <v/>
      </c>
      <c r="F286" s="11" t="s">
        <v>1267</v>
      </c>
      <c r="G286" s="19" t="str">
        <f>IF(ISBLANK('Contactos Agua Celica'!F283)," ","false")</f>
        <v>false</v>
      </c>
      <c r="H286" s="19" t="str">
        <f>IF(ISBLANK('Contactos Agua Celica'!F283)," ","0")</f>
        <v>0</v>
      </c>
      <c r="I286" s="19" t="str">
        <f>IF(ISBLANK('Contactos Agua Celica'!F283)," ","0")</f>
        <v>0</v>
      </c>
    </row>
    <row r="287" spans="1:9" x14ac:dyDescent="0.3">
      <c r="A287" s="19" t="s">
        <v>1114</v>
      </c>
      <c r="B287" s="20" t="str">
        <f>IF(ISBLANK('Contactos Agua Celica'!F284),"",'Contactos Agua Celica'!F284)</f>
        <v>Manuel Jumbo</v>
      </c>
      <c r="C287" s="18" t="str">
        <f>IF(ISBLANK('Contactos Agua Celica'!G284),"",'Contactos Agua Celica'!G284)</f>
        <v>099 775 9832</v>
      </c>
      <c r="D287" s="19" t="str">
        <f>IF(ISBLANK('Contactos Agua Celica'!H284),"",MID('Contactos Agua Celica'!H284,1,FIND(",",'Contactos Agua Celica'!H284,1)-1))</f>
        <v/>
      </c>
      <c r="E287" s="19" t="str">
        <f>IF(ISBLANK('Contactos Agua Celica'!H284),"",MID('Contactos Agua Celica'!H284,FIND(",",'Contactos Agua Celica'!H284,1)+1,LEN('Contactos Agua Celica'!H284)))</f>
        <v/>
      </c>
      <c r="F287" s="11" t="s">
        <v>1253</v>
      </c>
      <c r="G287" s="19" t="str">
        <f>IF(ISBLANK('Contactos Agua Celica'!F284)," ","false")</f>
        <v>false</v>
      </c>
      <c r="H287" s="19" t="str">
        <f>IF(ISBLANK('Contactos Agua Celica'!F284)," ","0")</f>
        <v>0</v>
      </c>
      <c r="I287" s="19" t="str">
        <f>IF(ISBLANK('Contactos Agua Celica'!F284)," ","0")</f>
        <v>0</v>
      </c>
    </row>
    <row r="288" spans="1:9" x14ac:dyDescent="0.3">
      <c r="A288" s="19" t="s">
        <v>1115</v>
      </c>
      <c r="B288" s="20" t="str">
        <f>IF(ISBLANK('Contactos Agua Celica'!F285),"",'Contactos Agua Celica'!F285)</f>
        <v>Manuel Mora</v>
      </c>
      <c r="C288" s="18" t="str">
        <f>IF(ISBLANK('Contactos Agua Celica'!G285),"",'Contactos Agua Celica'!G285)</f>
        <v>0992280329</v>
      </c>
      <c r="D288" s="19" t="str">
        <f>IF(ISBLANK('Contactos Agua Celica'!H285),"",MID('Contactos Agua Celica'!H285,1,FIND(",",'Contactos Agua Celica'!H285,1)-1))</f>
        <v>-4.100438983216434</v>
      </c>
      <c r="E288" s="19" t="str">
        <f>IF(ISBLANK('Contactos Agua Celica'!H285),"",MID('Contactos Agua Celica'!H285,FIND(",",'Contactos Agua Celica'!H285,1)+1,LEN('Contactos Agua Celica'!H285)))</f>
        <v xml:space="preserve"> -79.95730905301768</v>
      </c>
      <c r="F288" s="11" t="s">
        <v>1261</v>
      </c>
      <c r="G288" s="19" t="str">
        <f>IF(ISBLANK('Contactos Agua Celica'!F285)," ","false")</f>
        <v>false</v>
      </c>
      <c r="H288" s="19" t="str">
        <f>IF(ISBLANK('Contactos Agua Celica'!F285)," ","0")</f>
        <v>0</v>
      </c>
      <c r="I288" s="19" t="str">
        <f>IF(ISBLANK('Contactos Agua Celica'!F285)," ","0")</f>
        <v>0</v>
      </c>
    </row>
    <row r="289" spans="1:9" x14ac:dyDescent="0.3">
      <c r="A289" s="19" t="s">
        <v>1116</v>
      </c>
      <c r="B289" s="20" t="str">
        <f>IF(ISBLANK('Contactos Agua Celica'!F286),"",'Contactos Agua Celica'!F286)</f>
        <v>Manuela Rodríguez</v>
      </c>
      <c r="C289" s="18" t="str">
        <f>IF(ISBLANK('Contactos Agua Celica'!G286),"",'Contactos Agua Celica'!G286)</f>
        <v>+593 99 981 6711</v>
      </c>
      <c r="D289" s="19" t="str">
        <f>IF(ISBLANK('Contactos Agua Celica'!H286),"",MID('Contactos Agua Celica'!H286,1,FIND(",",'Contactos Agua Celica'!H286,1)-1))</f>
        <v/>
      </c>
      <c r="E289" s="19" t="str">
        <f>IF(ISBLANK('Contactos Agua Celica'!H286),"",MID('Contactos Agua Celica'!H286,FIND(",",'Contactos Agua Celica'!H286,1)+1,LEN('Contactos Agua Celica'!H286)))</f>
        <v/>
      </c>
      <c r="F289" s="11" t="s">
        <v>1256</v>
      </c>
      <c r="G289" s="19" t="str">
        <f>IF(ISBLANK('Contactos Agua Celica'!F286)," ","false")</f>
        <v>false</v>
      </c>
      <c r="H289" s="19" t="str">
        <f>IF(ISBLANK('Contactos Agua Celica'!F286)," ","0")</f>
        <v>0</v>
      </c>
      <c r="I289" s="19" t="str">
        <f>IF(ISBLANK('Contactos Agua Celica'!F286)," ","0")</f>
        <v>0</v>
      </c>
    </row>
    <row r="290" spans="1:9" x14ac:dyDescent="0.3">
      <c r="A290" s="19" t="s">
        <v>1117</v>
      </c>
      <c r="B290" s="20" t="str">
        <f>IF(ISBLANK('Contactos Agua Celica'!F287),"",'Contactos Agua Celica'!F287)</f>
        <v>Marcela Narvaez</v>
      </c>
      <c r="C290" s="18" t="str">
        <f>IF(ISBLANK('Contactos Agua Celica'!G287),"",'Contactos Agua Celica'!G287)</f>
        <v>096 704 5388</v>
      </c>
      <c r="D290" s="19" t="str">
        <f>IF(ISBLANK('Contactos Agua Celica'!H287),"",MID('Contactos Agua Celica'!H287,1,FIND(",",'Contactos Agua Celica'!H287,1)-1))</f>
        <v/>
      </c>
      <c r="E290" s="19" t="str">
        <f>IF(ISBLANK('Contactos Agua Celica'!H287),"",MID('Contactos Agua Celica'!H287,FIND(",",'Contactos Agua Celica'!H287,1)+1,LEN('Contactos Agua Celica'!H287)))</f>
        <v/>
      </c>
      <c r="F290" s="20" t="s">
        <v>1256</v>
      </c>
      <c r="G290" s="19" t="str">
        <f>IF(ISBLANK('Contactos Agua Celica'!F287)," ","false")</f>
        <v>false</v>
      </c>
      <c r="H290" s="19" t="str">
        <f>IF(ISBLANK('Contactos Agua Celica'!F287)," ","0")</f>
        <v>0</v>
      </c>
      <c r="I290" s="19" t="str">
        <f>IF(ISBLANK('Contactos Agua Celica'!F287)," ","0")</f>
        <v>0</v>
      </c>
    </row>
    <row r="291" spans="1:9" x14ac:dyDescent="0.3">
      <c r="A291" s="19" t="s">
        <v>1118</v>
      </c>
      <c r="B291" s="20" t="str">
        <f>IF(ISBLANK('Contactos Agua Celica'!F288),"",'Contactos Agua Celica'!F288)</f>
        <v>Marco Bustamante</v>
      </c>
      <c r="C291" s="18" t="str">
        <f>IF(ISBLANK('Contactos Agua Celica'!G288),"",'Contactos Agua Celica'!G288)</f>
        <v>+593 98 521 2515</v>
      </c>
      <c r="D291" s="19" t="str">
        <f>IF(ISBLANK('Contactos Agua Celica'!H288),"",MID('Contactos Agua Celica'!H288,1,FIND(",",'Contactos Agua Celica'!H288,1)-1))</f>
        <v>-4.101956753059498</v>
      </c>
      <c r="E291" s="19" t="str">
        <f>IF(ISBLANK('Contactos Agua Celica'!H288),"",MID('Contactos Agua Celica'!H288,FIND(",",'Contactos Agua Celica'!H288,1)+1,LEN('Contactos Agua Celica'!H288)))</f>
        <v xml:space="preserve"> -79.9556035193373</v>
      </c>
      <c r="F291" s="11" t="s">
        <v>1267</v>
      </c>
      <c r="G291" s="19" t="str">
        <f>IF(ISBLANK('Contactos Agua Celica'!F288)," ","false")</f>
        <v>false</v>
      </c>
      <c r="H291" s="19" t="str">
        <f>IF(ISBLANK('Contactos Agua Celica'!F288)," ","0")</f>
        <v>0</v>
      </c>
      <c r="I291" s="19" t="str">
        <f>IF(ISBLANK('Contactos Agua Celica'!F288)," ","0")</f>
        <v>0</v>
      </c>
    </row>
    <row r="292" spans="1:9" x14ac:dyDescent="0.3">
      <c r="A292" s="19" t="s">
        <v>1119</v>
      </c>
      <c r="B292" s="20" t="str">
        <f>IF(ISBLANK('Contactos Agua Celica'!F289),"",'Contactos Agua Celica'!F289)</f>
        <v>Marco Silva</v>
      </c>
      <c r="C292" s="18" t="str">
        <f>IF(ISBLANK('Contactos Agua Celica'!G289),"",'Contactos Agua Celica'!G289)</f>
        <v>+593 99 104 2404</v>
      </c>
      <c r="D292" s="19" t="str">
        <f>IF(ISBLANK('Contactos Agua Celica'!H289),"",MID('Contactos Agua Celica'!H289,1,FIND(",",'Contactos Agua Celica'!H289,1)-1))</f>
        <v>-4.098284732570769</v>
      </c>
      <c r="E292" s="19" t="str">
        <f>IF(ISBLANK('Contactos Agua Celica'!H289),"",MID('Contactos Agua Celica'!H289,FIND(",",'Contactos Agua Celica'!H289,1)+1,LEN('Contactos Agua Celica'!H289)))</f>
        <v xml:space="preserve"> -79.95841190145259</v>
      </c>
      <c r="F292" s="11" t="s">
        <v>1267</v>
      </c>
      <c r="G292" s="19" t="str">
        <f>IF(ISBLANK('Contactos Agua Celica'!F289)," ","false")</f>
        <v>false</v>
      </c>
      <c r="H292" s="19" t="str">
        <f>IF(ISBLANK('Contactos Agua Celica'!F289)," ","0")</f>
        <v>0</v>
      </c>
      <c r="I292" s="19" t="str">
        <f>IF(ISBLANK('Contactos Agua Celica'!F289)," ","0")</f>
        <v>0</v>
      </c>
    </row>
    <row r="293" spans="1:9" x14ac:dyDescent="0.3">
      <c r="A293" s="19" t="s">
        <v>1120</v>
      </c>
      <c r="B293" s="20" t="str">
        <f>IF(ISBLANK('Contactos Agua Celica'!F290),"",'Contactos Agua Celica'!F290)</f>
        <v>Margarita Jumbo</v>
      </c>
      <c r="C293" s="18" t="str">
        <f>IF(ISBLANK('Contactos Agua Celica'!G290),"",'Contactos Agua Celica'!G290)</f>
        <v>+593 98 977 4164</v>
      </c>
      <c r="D293" s="19" t="str">
        <f>IF(ISBLANK('Contactos Agua Celica'!H290),"",MID('Contactos Agua Celica'!H290,1,FIND(",",'Contactos Agua Celica'!H290,1)-1))</f>
        <v/>
      </c>
      <c r="E293" s="19" t="str">
        <f>IF(ISBLANK('Contactos Agua Celica'!H290),"",MID('Contactos Agua Celica'!H290,FIND(",",'Contactos Agua Celica'!H290,1)+1,LEN('Contactos Agua Celica'!H290)))</f>
        <v/>
      </c>
      <c r="F293" s="11" t="s">
        <v>1267</v>
      </c>
      <c r="G293" s="19" t="str">
        <f>IF(ISBLANK('Contactos Agua Celica'!F290)," ","false")</f>
        <v>false</v>
      </c>
      <c r="H293" s="19" t="str">
        <f>IF(ISBLANK('Contactos Agua Celica'!F290)," ","0")</f>
        <v>0</v>
      </c>
      <c r="I293" s="19" t="str">
        <f>IF(ISBLANK('Contactos Agua Celica'!F290)," ","0")</f>
        <v>0</v>
      </c>
    </row>
    <row r="294" spans="1:9" x14ac:dyDescent="0.3">
      <c r="A294" s="19" t="s">
        <v>1121</v>
      </c>
      <c r="B294" s="20" t="str">
        <f>IF(ISBLANK('Contactos Agua Celica'!F291),"",'Contactos Agua Celica'!F291)</f>
        <v>María Elena Zhamumgui 🚗</v>
      </c>
      <c r="C294" s="18" t="str">
        <f>IF(ISBLANK('Contactos Agua Celica'!G291),"",'Contactos Agua Celica'!G291)</f>
        <v>+593 99 402 2025</v>
      </c>
      <c r="D294" s="19" t="str">
        <f>IF(ISBLANK('Contactos Agua Celica'!H291),"",MID('Contactos Agua Celica'!H291,1,FIND(",",'Contactos Agua Celica'!H291,1)-1))</f>
        <v/>
      </c>
      <c r="E294" s="19" t="str">
        <f>IF(ISBLANK('Contactos Agua Celica'!H291),"",MID('Contactos Agua Celica'!H291,FIND(",",'Contactos Agua Celica'!H291,1)+1,LEN('Contactos Agua Celica'!H291)))</f>
        <v/>
      </c>
      <c r="F294" s="11" t="s">
        <v>1267</v>
      </c>
      <c r="G294" s="19" t="str">
        <f>IF(ISBLANK('Contactos Agua Celica'!F291)," ","false")</f>
        <v>false</v>
      </c>
      <c r="H294" s="19" t="str">
        <f>IF(ISBLANK('Contactos Agua Celica'!F291)," ","0")</f>
        <v>0</v>
      </c>
      <c r="I294" s="19" t="str">
        <f>IF(ISBLANK('Contactos Agua Celica'!F291)," ","0")</f>
        <v>0</v>
      </c>
    </row>
    <row r="295" spans="1:9" x14ac:dyDescent="0.3">
      <c r="A295" s="19" t="s">
        <v>1122</v>
      </c>
      <c r="B295" s="20" t="str">
        <f>IF(ISBLANK('Contactos Agua Celica'!F292),"",'Contactos Agua Celica'!F292)</f>
        <v>Maria Espinoza</v>
      </c>
      <c r="C295" s="18" t="str">
        <f>IF(ISBLANK('Contactos Agua Celica'!G292),"",'Contactos Agua Celica'!G292)</f>
        <v>+593 99 306 9187</v>
      </c>
      <c r="D295" s="19" t="str">
        <f>IF(ISBLANK('Contactos Agua Celica'!H292),"",MID('Contactos Agua Celica'!H292,1,FIND(",",'Contactos Agua Celica'!H292,1)-1))</f>
        <v>-4.098273283384028</v>
      </c>
      <c r="E295" s="19" t="str">
        <f>IF(ISBLANK('Contactos Agua Celica'!H292),"",MID('Contactos Agua Celica'!H292,FIND(",",'Contactos Agua Celica'!H292,1)+1,LEN('Contactos Agua Celica'!H292)))</f>
        <v xml:space="preserve"> -79.95780646334963</v>
      </c>
      <c r="F295" s="11" t="s">
        <v>1260</v>
      </c>
      <c r="G295" s="19" t="str">
        <f>IF(ISBLANK('Contactos Agua Celica'!F292)," ","false")</f>
        <v>false</v>
      </c>
      <c r="H295" s="19" t="str">
        <f>IF(ISBLANK('Contactos Agua Celica'!F292)," ","0")</f>
        <v>0</v>
      </c>
      <c r="I295" s="19" t="str">
        <f>IF(ISBLANK('Contactos Agua Celica'!F292)," ","0")</f>
        <v>0</v>
      </c>
    </row>
    <row r="296" spans="1:9" x14ac:dyDescent="0.3">
      <c r="A296" s="19" t="s">
        <v>1123</v>
      </c>
      <c r="B296" s="20" t="str">
        <f>IF(ISBLANK('Contactos Agua Celica'!F293),"",'Contactos Agua Celica'!F293)</f>
        <v>María José Bustamante Día</v>
      </c>
      <c r="C296" s="18" t="str">
        <f>IF(ISBLANK('Contactos Agua Celica'!G293),"",'Contactos Agua Celica'!G293)</f>
        <v>+593 96 273 9270</v>
      </c>
      <c r="D296" s="19" t="str">
        <f>IF(ISBLANK('Contactos Agua Celica'!H293),"",MID('Contactos Agua Celica'!H293,1,FIND(",",'Contactos Agua Celica'!H293,1)-1))</f>
        <v/>
      </c>
      <c r="E296" s="19" t="str">
        <f>IF(ISBLANK('Contactos Agua Celica'!H293),"",MID('Contactos Agua Celica'!H293,FIND(",",'Contactos Agua Celica'!H293,1)+1,LEN('Contactos Agua Celica'!H293)))</f>
        <v/>
      </c>
      <c r="F296" s="11" t="s">
        <v>1261</v>
      </c>
      <c r="G296" s="19" t="str">
        <f>IF(ISBLANK('Contactos Agua Celica'!F293)," ","false")</f>
        <v>false</v>
      </c>
      <c r="H296" s="19" t="str">
        <f>IF(ISBLANK('Contactos Agua Celica'!F293)," ","0")</f>
        <v>0</v>
      </c>
      <c r="I296" s="19" t="str">
        <f>IF(ISBLANK('Contactos Agua Celica'!F293)," ","0")</f>
        <v>0</v>
      </c>
    </row>
    <row r="297" spans="1:9" x14ac:dyDescent="0.3">
      <c r="A297" s="19" t="s">
        <v>1124</v>
      </c>
      <c r="B297" s="20" t="str">
        <f>IF(ISBLANK('Contactos Agua Celica'!F294),"",'Contactos Agua Celica'!F294)</f>
        <v>María Vera</v>
      </c>
      <c r="C297" s="18" t="str">
        <f>IF(ISBLANK('Contactos Agua Celica'!G294),"",'Contactos Agua Celica'!G294)</f>
        <v>+593 99 708 7578</v>
      </c>
      <c r="D297" s="19" t="str">
        <f>IF(ISBLANK('Contactos Agua Celica'!H294),"",MID('Contactos Agua Celica'!H294,1,FIND(",",'Contactos Agua Celica'!H294,1)-1))</f>
        <v>-4.104926269560125</v>
      </c>
      <c r="E297" s="19" t="str">
        <f>IF(ISBLANK('Contactos Agua Celica'!H294),"",MID('Contactos Agua Celica'!H294,FIND(",",'Contactos Agua Celica'!H294,1)+1,LEN('Contactos Agua Celica'!H294)))</f>
        <v xml:space="preserve"> -79.9558663026545</v>
      </c>
      <c r="F297" s="11" t="s">
        <v>1255</v>
      </c>
      <c r="G297" s="19" t="str">
        <f>IF(ISBLANK('Contactos Agua Celica'!F294)," ","false")</f>
        <v>false</v>
      </c>
      <c r="H297" s="19" t="str">
        <f>IF(ISBLANK('Contactos Agua Celica'!F294)," ","0")</f>
        <v>0</v>
      </c>
      <c r="I297" s="19" t="str">
        <f>IF(ISBLANK('Contactos Agua Celica'!F294)," ","0")</f>
        <v>0</v>
      </c>
    </row>
    <row r="298" spans="1:9" x14ac:dyDescent="0.3">
      <c r="A298" s="19" t="s">
        <v>1125</v>
      </c>
      <c r="B298" s="20" t="str">
        <f>IF(ISBLANK('Contactos Agua Celica'!F295),"",'Contactos Agua Celica'!F295)</f>
        <v>Maria Yaguachi</v>
      </c>
      <c r="C298" s="18" t="str">
        <f>IF(ISBLANK('Contactos Agua Celica'!G295),"",'Contactos Agua Celica'!G295)</f>
        <v>+593 98 793 8282</v>
      </c>
      <c r="D298" s="19" t="str">
        <f>IF(ISBLANK('Contactos Agua Celica'!H295),"",MID('Contactos Agua Celica'!H295,1,FIND(",",'Contactos Agua Celica'!H295,1)-1))</f>
        <v>-4.097661664846815</v>
      </c>
      <c r="E298" s="19" t="str">
        <f>IF(ISBLANK('Contactos Agua Celica'!H295),"",MID('Contactos Agua Celica'!H295,FIND(",",'Contactos Agua Celica'!H295,1)+1,LEN('Contactos Agua Celica'!H295)))</f>
        <v xml:space="preserve"> -79.96108618813453</v>
      </c>
      <c r="F298" s="11" t="s">
        <v>1267</v>
      </c>
      <c r="G298" s="19" t="str">
        <f>IF(ISBLANK('Contactos Agua Celica'!F295)," ","false")</f>
        <v>false</v>
      </c>
      <c r="H298" s="19" t="str">
        <f>IF(ISBLANK('Contactos Agua Celica'!F295)," ","0")</f>
        <v>0</v>
      </c>
      <c r="I298" s="19" t="str">
        <f>IF(ISBLANK('Contactos Agua Celica'!F295)," ","0")</f>
        <v>0</v>
      </c>
    </row>
    <row r="299" spans="1:9" x14ac:dyDescent="0.3">
      <c r="A299" s="19" t="s">
        <v>1126</v>
      </c>
      <c r="B299" s="20" t="str">
        <f>IF(ISBLANK('Contactos Agua Celica'!F296),"",'Contactos Agua Celica'!F296)</f>
        <v>Maria Yaguachi 2</v>
      </c>
      <c r="C299" s="18" t="str">
        <f>IF(ISBLANK('Contactos Agua Celica'!G296),"",'Contactos Agua Celica'!G296)</f>
        <v>+593 98 766 3791</v>
      </c>
      <c r="D299" s="19" t="str">
        <f>IF(ISBLANK('Contactos Agua Celica'!H296),"",MID('Contactos Agua Celica'!H296,1,FIND(",",'Contactos Agua Celica'!H296,1)-1))</f>
        <v>-4.097661664846815</v>
      </c>
      <c r="E299" s="19" t="str">
        <f>IF(ISBLANK('Contactos Agua Celica'!H296),"",MID('Contactos Agua Celica'!H296,FIND(",",'Contactos Agua Celica'!H296,1)+1,LEN('Contactos Agua Celica'!H296)))</f>
        <v xml:space="preserve"> -79.96108618813453</v>
      </c>
      <c r="F299" s="11" t="s">
        <v>1267</v>
      </c>
      <c r="G299" s="19" t="str">
        <f>IF(ISBLANK('Contactos Agua Celica'!F296)," ","false")</f>
        <v>false</v>
      </c>
      <c r="H299" s="19" t="str">
        <f>IF(ISBLANK('Contactos Agua Celica'!F296)," ","0")</f>
        <v>0</v>
      </c>
      <c r="I299" s="19" t="str">
        <f>IF(ISBLANK('Contactos Agua Celica'!F296)," ","0")</f>
        <v>0</v>
      </c>
    </row>
    <row r="300" spans="1:9" x14ac:dyDescent="0.3">
      <c r="A300" s="19" t="s">
        <v>1127</v>
      </c>
      <c r="B300" s="20" t="str">
        <f>IF(ISBLANK('Contactos Agua Celica'!F297),"",'Contactos Agua Celica'!F297)</f>
        <v>Maricela</v>
      </c>
      <c r="C300" s="18" t="str">
        <f>IF(ISBLANK('Contactos Agua Celica'!G297),"",'Contactos Agua Celica'!G297)</f>
        <v>+593 99 074 7505</v>
      </c>
      <c r="D300" s="19" t="str">
        <f>IF(ISBLANK('Contactos Agua Celica'!H297),"",MID('Contactos Agua Celica'!H297,1,FIND(",",'Contactos Agua Celica'!H297,1)-1))</f>
        <v/>
      </c>
      <c r="E300" s="19" t="str">
        <f>IF(ISBLANK('Contactos Agua Celica'!H297),"",MID('Contactos Agua Celica'!H297,FIND(",",'Contactos Agua Celica'!H297,1)+1,LEN('Contactos Agua Celica'!H297)))</f>
        <v/>
      </c>
      <c r="F300" s="11" t="s">
        <v>1261</v>
      </c>
      <c r="G300" s="19" t="str">
        <f>IF(ISBLANK('Contactos Agua Celica'!F297)," ","false")</f>
        <v>false</v>
      </c>
      <c r="H300" s="19" t="str">
        <f>IF(ISBLANK('Contactos Agua Celica'!F297)," ","0")</f>
        <v>0</v>
      </c>
      <c r="I300" s="19" t="str">
        <f>IF(ISBLANK('Contactos Agua Celica'!F297)," ","0")</f>
        <v>0</v>
      </c>
    </row>
    <row r="301" spans="1:9" x14ac:dyDescent="0.3">
      <c r="A301" s="19" t="s">
        <v>1128</v>
      </c>
      <c r="B301" s="20" t="str">
        <f>IF(ISBLANK('Contactos Agua Celica'!F298),"",'Contactos Agua Celica'!F298)</f>
        <v>Maricruz Camacho</v>
      </c>
      <c r="C301" s="18" t="str">
        <f>IF(ISBLANK('Contactos Agua Celica'!G298),"",'Contactos Agua Celica'!G298)</f>
        <v>+593 98 828 6005</v>
      </c>
      <c r="D301" s="19" t="str">
        <f>IF(ISBLANK('Contactos Agua Celica'!H298),"",MID('Contactos Agua Celica'!H298,1,FIND(",",'Contactos Agua Celica'!H298,1)-1))</f>
        <v/>
      </c>
      <c r="E301" s="19" t="str">
        <f>IF(ISBLANK('Contactos Agua Celica'!H298),"",MID('Contactos Agua Celica'!H298,FIND(",",'Contactos Agua Celica'!H298,1)+1,LEN('Contactos Agua Celica'!H298)))</f>
        <v/>
      </c>
      <c r="F301" s="11" t="s">
        <v>1267</v>
      </c>
      <c r="G301" s="19" t="str">
        <f>IF(ISBLANK('Contactos Agua Celica'!F298)," ","false")</f>
        <v>false</v>
      </c>
      <c r="H301" s="19" t="str">
        <f>IF(ISBLANK('Contactos Agua Celica'!F298)," ","0")</f>
        <v>0</v>
      </c>
      <c r="I301" s="19" t="str">
        <f>IF(ISBLANK('Contactos Agua Celica'!F298)," ","0")</f>
        <v>0</v>
      </c>
    </row>
    <row r="302" spans="1:9" x14ac:dyDescent="0.3">
      <c r="A302" s="19" t="s">
        <v>1129</v>
      </c>
      <c r="B302" s="20" t="str">
        <f>IF(ISBLANK('Contactos Agua Celica'!F299),"",'Contactos Agua Celica'!F299)</f>
        <v>Mariela Granda</v>
      </c>
      <c r="C302" s="18" t="str">
        <f>IF(ISBLANK('Contactos Agua Celica'!G299),"",'Contactos Agua Celica'!G299)</f>
        <v>+593 96 802 2671</v>
      </c>
      <c r="D302" s="19" t="str">
        <f>IF(ISBLANK('Contactos Agua Celica'!H299),"",MID('Contactos Agua Celica'!H299,1,FIND(",",'Contactos Agua Celica'!H299,1)-1))</f>
        <v/>
      </c>
      <c r="E302" s="19" t="str">
        <f>IF(ISBLANK('Contactos Agua Celica'!H299),"",MID('Contactos Agua Celica'!H299,FIND(",",'Contactos Agua Celica'!H299,1)+1,LEN('Contactos Agua Celica'!H299)))</f>
        <v/>
      </c>
      <c r="F302" s="11" t="s">
        <v>1257</v>
      </c>
      <c r="G302" s="19" t="str">
        <f>IF(ISBLANK('Contactos Agua Celica'!F299)," ","false")</f>
        <v>false</v>
      </c>
      <c r="H302" s="19" t="str">
        <f>IF(ISBLANK('Contactos Agua Celica'!F299)," ","0")</f>
        <v>0</v>
      </c>
      <c r="I302" s="19" t="str">
        <f>IF(ISBLANK('Contactos Agua Celica'!F299)," ","0")</f>
        <v>0</v>
      </c>
    </row>
    <row r="303" spans="1:9" x14ac:dyDescent="0.3">
      <c r="A303" s="19" t="s">
        <v>1130</v>
      </c>
      <c r="B303" s="20" t="str">
        <f>IF(ISBLANK('Contactos Agua Celica'!F300),"",'Contactos Agua Celica'!F300)</f>
        <v>Marilu Vallejo</v>
      </c>
      <c r="C303" s="18" t="str">
        <f>IF(ISBLANK('Contactos Agua Celica'!G300),"",'Contactos Agua Celica'!G300)</f>
        <v>099 719 1879</v>
      </c>
      <c r="D303" s="19" t="str">
        <f>IF(ISBLANK('Contactos Agua Celica'!H300),"",MID('Contactos Agua Celica'!H300,1,FIND(",",'Contactos Agua Celica'!H300,1)-1))</f>
        <v>-4.104297229732908</v>
      </c>
      <c r="E303" s="19" t="str">
        <f>IF(ISBLANK('Contactos Agua Celica'!H300),"",MID('Contactos Agua Celica'!H300,FIND(",",'Contactos Agua Celica'!H300,1)+1,LEN('Contactos Agua Celica'!H300)))</f>
        <v xml:space="preserve"> -79.95804819808629</v>
      </c>
      <c r="F303" s="11" t="s">
        <v>1257</v>
      </c>
      <c r="G303" s="19" t="str">
        <f>IF(ISBLANK('Contactos Agua Celica'!F300)," ","false")</f>
        <v>false</v>
      </c>
      <c r="H303" s="19" t="str">
        <f>IF(ISBLANK('Contactos Agua Celica'!F300)," ","0")</f>
        <v>0</v>
      </c>
      <c r="I303" s="19" t="str">
        <f>IF(ISBLANK('Contactos Agua Celica'!F300)," ","0")</f>
        <v>0</v>
      </c>
    </row>
    <row r="304" spans="1:9" x14ac:dyDescent="0.3">
      <c r="A304" s="19" t="s">
        <v>1131</v>
      </c>
      <c r="B304" s="20" t="str">
        <f>IF(ISBLANK('Contactos Agua Celica'!F301),"",'Contactos Agua Celica'!F301)</f>
        <v>Mario Ambuludi</v>
      </c>
      <c r="C304" s="18" t="str">
        <f>IF(ISBLANK('Contactos Agua Celica'!G301),"",'Contactos Agua Celica'!G301)</f>
        <v>+593 99 095 3911</v>
      </c>
      <c r="D304" s="19" t="str">
        <f>IF(ISBLANK('Contactos Agua Celica'!H301),"",MID('Contactos Agua Celica'!H301,1,FIND(",",'Contactos Agua Celica'!H301,1)-1))</f>
        <v>-4.104369725726573</v>
      </c>
      <c r="E304" s="19" t="str">
        <f>IF(ISBLANK('Contactos Agua Celica'!H301),"",MID('Contactos Agua Celica'!H301,FIND(",",'Contactos Agua Celica'!H301,1)+1,LEN('Contactos Agua Celica'!H301)))</f>
        <v xml:space="preserve"> -79.95754588450939</v>
      </c>
      <c r="F304" s="11" t="s">
        <v>1267</v>
      </c>
      <c r="G304" s="19" t="str">
        <f>IF(ISBLANK('Contactos Agua Celica'!F301)," ","false")</f>
        <v>false</v>
      </c>
      <c r="H304" s="19" t="str">
        <f>IF(ISBLANK('Contactos Agua Celica'!F301)," ","0")</f>
        <v>0</v>
      </c>
      <c r="I304" s="19" t="str">
        <f>IF(ISBLANK('Contactos Agua Celica'!F301)," ","0")</f>
        <v>0</v>
      </c>
    </row>
    <row r="305" spans="1:9" x14ac:dyDescent="0.3">
      <c r="A305" s="19" t="s">
        <v>1132</v>
      </c>
      <c r="B305" s="20" t="str">
        <f>IF(ISBLANK('Contactos Agua Celica'!F302),"",'Contactos Agua Celica'!F302)</f>
        <v>Maritza Quezada</v>
      </c>
      <c r="C305" s="18" t="str">
        <f>IF(ISBLANK('Contactos Agua Celica'!G302),"",'Contactos Agua Celica'!G302)</f>
        <v>+593 96 707 7120</v>
      </c>
      <c r="D305" s="19" t="str">
        <f>IF(ISBLANK('Contactos Agua Celica'!H302),"",MID('Contactos Agua Celica'!H302,1,FIND(",",'Contactos Agua Celica'!H302,1)-1))</f>
        <v/>
      </c>
      <c r="E305" s="19" t="str">
        <f>IF(ISBLANK('Contactos Agua Celica'!H302),"",MID('Contactos Agua Celica'!H302,FIND(",",'Contactos Agua Celica'!H302,1)+1,LEN('Contactos Agua Celica'!H302)))</f>
        <v/>
      </c>
      <c r="F305" s="11" t="s">
        <v>1267</v>
      </c>
      <c r="G305" s="19" t="str">
        <f>IF(ISBLANK('Contactos Agua Celica'!F302)," ","false")</f>
        <v>false</v>
      </c>
      <c r="H305" s="19" t="str">
        <f>IF(ISBLANK('Contactos Agua Celica'!F302)," ","0")</f>
        <v>0</v>
      </c>
      <c r="I305" s="19" t="str">
        <f>IF(ISBLANK('Contactos Agua Celica'!F302)," ","0")</f>
        <v>0</v>
      </c>
    </row>
    <row r="306" spans="1:9" x14ac:dyDescent="0.3">
      <c r="A306" s="19" t="s">
        <v>1133</v>
      </c>
      <c r="B306" s="20" t="str">
        <f>IF(ISBLANK('Contactos Agua Celica'!F303),"",'Contactos Agua Celica'!F303)</f>
        <v>Martha Mora</v>
      </c>
      <c r="C306" s="18" t="str">
        <f>IF(ISBLANK('Contactos Agua Celica'!G303),"",'Contactos Agua Celica'!G303)</f>
        <v>0979500024</v>
      </c>
      <c r="D306" s="19" t="str">
        <f>IF(ISBLANK('Contactos Agua Celica'!H303),"",MID('Contactos Agua Celica'!H303,1,FIND(",",'Contactos Agua Celica'!H303,1)-1))</f>
        <v/>
      </c>
      <c r="E306" s="19" t="str">
        <f>IF(ISBLANK('Contactos Agua Celica'!H303),"",MID('Contactos Agua Celica'!H303,FIND(",",'Contactos Agua Celica'!H303,1)+1,LEN('Contactos Agua Celica'!H303)))</f>
        <v/>
      </c>
      <c r="F306" s="11" t="s">
        <v>1267</v>
      </c>
      <c r="G306" s="19" t="str">
        <f>IF(ISBLANK('Contactos Agua Celica'!F303)," ","false")</f>
        <v>false</v>
      </c>
      <c r="H306" s="19" t="str">
        <f>IF(ISBLANK('Contactos Agua Celica'!F303)," ","0")</f>
        <v>0</v>
      </c>
      <c r="I306" s="19" t="str">
        <f>IF(ISBLANK('Contactos Agua Celica'!F303)," ","0")</f>
        <v>0</v>
      </c>
    </row>
    <row r="307" spans="1:9" x14ac:dyDescent="0.3">
      <c r="A307" s="19" t="s">
        <v>1134</v>
      </c>
      <c r="B307" s="20" t="str">
        <f>IF(ISBLANK('Contactos Agua Celica'!F304),"",'Contactos Agua Celica'!F304)</f>
        <v>Martita</v>
      </c>
      <c r="C307" s="18" t="str">
        <f>IF(ISBLANK('Contactos Agua Celica'!G304),"",'Contactos Agua Celica'!G304)</f>
        <v>+593962607861</v>
      </c>
      <c r="D307" s="19" t="str">
        <f>IF(ISBLANK('Contactos Agua Celica'!H304),"",MID('Contactos Agua Celica'!H304,1,FIND(",",'Contactos Agua Celica'!H304,1)-1))</f>
        <v>-4.104426402218651</v>
      </c>
      <c r="E307" s="19" t="str">
        <f>IF(ISBLANK('Contactos Agua Celica'!H304),"",MID('Contactos Agua Celica'!H304,FIND(",",'Contactos Agua Celica'!H304,1)+1,LEN('Contactos Agua Celica'!H304)))</f>
        <v xml:space="preserve"> -79.95712708773279</v>
      </c>
      <c r="F307" s="11" t="s">
        <v>1259</v>
      </c>
      <c r="G307" s="19" t="str">
        <f>IF(ISBLANK('Contactos Agua Celica'!F304)," ","false")</f>
        <v>false</v>
      </c>
      <c r="H307" s="19" t="str">
        <f>IF(ISBLANK('Contactos Agua Celica'!F304)," ","0")</f>
        <v>0</v>
      </c>
      <c r="I307" s="19" t="str">
        <f>IF(ISBLANK('Contactos Agua Celica'!F304)," ","0")</f>
        <v>0</v>
      </c>
    </row>
    <row r="308" spans="1:9" x14ac:dyDescent="0.3">
      <c r="A308" s="19" t="s">
        <v>1135</v>
      </c>
      <c r="B308" s="20" t="str">
        <f>IF(ISBLANK('Contactos Agua Celica'!F305),"",'Contactos Agua Celica'!F305)</f>
        <v>Martita Bustamante</v>
      </c>
      <c r="C308" s="18" t="str">
        <f>IF(ISBLANK('Contactos Agua Celica'!G305),"",'Contactos Agua Celica'!G305)</f>
        <v>+593 99 084 1574</v>
      </c>
      <c r="D308" s="19" t="str">
        <f>IF(ISBLANK('Contactos Agua Celica'!H305),"",MID('Contactos Agua Celica'!H305,1,FIND(",",'Contactos Agua Celica'!H305,1)-1))</f>
        <v>-4.104362907248524</v>
      </c>
      <c r="E308" s="19" t="str">
        <f>IF(ISBLANK('Contactos Agua Celica'!H305),"",MID('Contactos Agua Celica'!H305,FIND(",",'Contactos Agua Celica'!H305,1)+1,LEN('Contactos Agua Celica'!H305)))</f>
        <v xml:space="preserve"> -79.95715633681314</v>
      </c>
      <c r="F308" s="11" t="s">
        <v>1267</v>
      </c>
      <c r="G308" s="19" t="str">
        <f>IF(ISBLANK('Contactos Agua Celica'!F305)," ","false")</f>
        <v>false</v>
      </c>
      <c r="H308" s="19" t="str">
        <f>IF(ISBLANK('Contactos Agua Celica'!F305)," ","0")</f>
        <v>0</v>
      </c>
      <c r="I308" s="19" t="str">
        <f>IF(ISBLANK('Contactos Agua Celica'!F305)," ","0")</f>
        <v>0</v>
      </c>
    </row>
    <row r="309" spans="1:9" x14ac:dyDescent="0.3">
      <c r="A309" s="19" t="s">
        <v>1136</v>
      </c>
      <c r="B309" s="20" t="str">
        <f>IF(ISBLANK('Contactos Agua Celica'!F306),"",'Contactos Agua Celica'!F306)</f>
        <v>Mary Villa 212</v>
      </c>
      <c r="C309" s="18" t="str">
        <f>IF(ISBLANK('Contactos Agua Celica'!G306),"",'Contactos Agua Celica'!G306)</f>
        <v>+593 99 858 8677</v>
      </c>
      <c r="D309" s="19" t="str">
        <f>IF(ISBLANK('Contactos Agua Celica'!H306),"",MID('Contactos Agua Celica'!H306,1,FIND(",",'Contactos Agua Celica'!H306,1)-1))</f>
        <v>-4.098866108558495</v>
      </c>
      <c r="E309" s="19" t="str">
        <f>IF(ISBLANK('Contactos Agua Celica'!H306),"",MID('Contactos Agua Celica'!H306,FIND(",",'Contactos Agua Celica'!H306,1)+1,LEN('Contactos Agua Celica'!H306)))</f>
        <v xml:space="preserve"> -79.95776959001527</v>
      </c>
      <c r="F309" s="11" t="s">
        <v>1262</v>
      </c>
      <c r="G309" s="19" t="str">
        <f>IF(ISBLANK('Contactos Agua Celica'!F306)," ","false")</f>
        <v>false</v>
      </c>
      <c r="H309" s="19" t="str">
        <f>IF(ISBLANK('Contactos Agua Celica'!F306)," ","0")</f>
        <v>0</v>
      </c>
      <c r="I309" s="19" t="str">
        <f>IF(ISBLANK('Contactos Agua Celica'!F306)," ","0")</f>
        <v>0</v>
      </c>
    </row>
    <row r="310" spans="1:9" x14ac:dyDescent="0.3">
      <c r="A310" s="19" t="s">
        <v>1137</v>
      </c>
      <c r="B310" s="20" t="str">
        <f>IF(ISBLANK('Contactos Agua Celica'!F307),"",'Contactos Agua Celica'!F307)</f>
        <v>Mayra García</v>
      </c>
      <c r="C310" s="18" t="str">
        <f>IF(ISBLANK('Contactos Agua Celica'!G307),"",'Contactos Agua Celica'!G307)</f>
        <v>+593 98 198 4111</v>
      </c>
      <c r="D310" s="19" t="str">
        <f>IF(ISBLANK('Contactos Agua Celica'!H307),"",MID('Contactos Agua Celica'!H307,1,FIND(",",'Contactos Agua Celica'!H307,1)-1))</f>
        <v>-4.10438226698689</v>
      </c>
      <c r="E310" s="19" t="str">
        <f>IF(ISBLANK('Contactos Agua Celica'!H307),"",MID('Contactos Agua Celica'!H307,FIND(",",'Contactos Agua Celica'!H307,1)+1,LEN('Contactos Agua Celica'!H307)))</f>
        <v xml:space="preserve"> -79.95539645850334</v>
      </c>
      <c r="F310" s="11" t="s">
        <v>1267</v>
      </c>
      <c r="G310" s="19" t="str">
        <f>IF(ISBLANK('Contactos Agua Celica'!F307)," ","false")</f>
        <v>false</v>
      </c>
      <c r="H310" s="19" t="str">
        <f>IF(ISBLANK('Contactos Agua Celica'!F307)," ","0")</f>
        <v>0</v>
      </c>
      <c r="I310" s="19" t="str">
        <f>IF(ISBLANK('Contactos Agua Celica'!F307)," ","0")</f>
        <v>0</v>
      </c>
    </row>
    <row r="311" spans="1:9" x14ac:dyDescent="0.3">
      <c r="A311" s="19" t="s">
        <v>1138</v>
      </c>
      <c r="B311" s="20" t="str">
        <f>IF(ISBLANK('Contactos Agua Celica'!F308),"",'Contactos Agua Celica'!F308)</f>
        <v>Mayu Zat</v>
      </c>
      <c r="C311" s="18" t="str">
        <f>IF(ISBLANK('Contactos Agua Celica'!G308),"",'Contactos Agua Celica'!G308)</f>
        <v>+593 98 010 5390</v>
      </c>
      <c r="D311" s="19" t="str">
        <f>IF(ISBLANK('Contactos Agua Celica'!H308),"",MID('Contactos Agua Celica'!H308,1,FIND(",",'Contactos Agua Celica'!H308,1)-1))</f>
        <v/>
      </c>
      <c r="E311" s="19" t="str">
        <f>IF(ISBLANK('Contactos Agua Celica'!H308),"",MID('Contactos Agua Celica'!H308,FIND(",",'Contactos Agua Celica'!H308,1)+1,LEN('Contactos Agua Celica'!H308)))</f>
        <v/>
      </c>
      <c r="F311" s="11" t="s">
        <v>1267</v>
      </c>
      <c r="G311" s="19" t="str">
        <f>IF(ISBLANK('Contactos Agua Celica'!F308)," ","false")</f>
        <v>false</v>
      </c>
      <c r="H311" s="19" t="str">
        <f>IF(ISBLANK('Contactos Agua Celica'!F308)," ","0")</f>
        <v>0</v>
      </c>
      <c r="I311" s="19" t="str">
        <f>IF(ISBLANK('Contactos Agua Celica'!F308)," ","0")</f>
        <v>0</v>
      </c>
    </row>
    <row r="312" spans="1:9" x14ac:dyDescent="0.3">
      <c r="A312" s="19" t="s">
        <v>1139</v>
      </c>
      <c r="B312" s="20" t="str">
        <f>IF(ISBLANK('Contactos Agua Celica'!F309),"",'Contactos Agua Celica'!F309)</f>
        <v>Mercedes Torres</v>
      </c>
      <c r="C312" s="18" t="str">
        <f>IF(ISBLANK('Contactos Agua Celica'!G309),"",'Contactos Agua Celica'!G309)</f>
        <v>+593 98 526 1421</v>
      </c>
      <c r="D312" s="19" t="str">
        <f>IF(ISBLANK('Contactos Agua Celica'!H309),"",MID('Contactos Agua Celica'!H309,1,FIND(",",'Contactos Agua Celica'!H309,1)-1))</f>
        <v/>
      </c>
      <c r="E312" s="19" t="str">
        <f>IF(ISBLANK('Contactos Agua Celica'!H309),"",MID('Contactos Agua Celica'!H309,FIND(",",'Contactos Agua Celica'!H309,1)+1,LEN('Contactos Agua Celica'!H309)))</f>
        <v/>
      </c>
      <c r="F312" s="11" t="s">
        <v>1267</v>
      </c>
      <c r="G312" s="19" t="str">
        <f>IF(ISBLANK('Contactos Agua Celica'!F309)," ","false")</f>
        <v>false</v>
      </c>
      <c r="H312" s="19" t="str">
        <f>IF(ISBLANK('Contactos Agua Celica'!F309)," ","0")</f>
        <v>0</v>
      </c>
      <c r="I312" s="19" t="str">
        <f>IF(ISBLANK('Contactos Agua Celica'!F309)," ","0")</f>
        <v>0</v>
      </c>
    </row>
    <row r="313" spans="1:9" x14ac:dyDescent="0.3">
      <c r="A313" s="19" t="s">
        <v>1140</v>
      </c>
      <c r="B313" s="20" t="str">
        <f>IF(ISBLANK('Contactos Agua Celica'!F310),"",'Contactos Agua Celica'!F310)</f>
        <v>Mercy Jimbo</v>
      </c>
      <c r="C313" s="18" t="str">
        <f>IF(ISBLANK('Contactos Agua Celica'!G310),"",'Contactos Agua Celica'!G310)</f>
        <v>+593 95 991 6800</v>
      </c>
      <c r="D313" s="19" t="str">
        <f>IF(ISBLANK('Contactos Agua Celica'!H310),"",MID('Contactos Agua Celica'!H310,1,FIND(",",'Contactos Agua Celica'!H310,1)-1))</f>
        <v/>
      </c>
      <c r="E313" s="19" t="str">
        <f>IF(ISBLANK('Contactos Agua Celica'!H310),"",MID('Contactos Agua Celica'!H310,FIND(",",'Contactos Agua Celica'!H310,1)+1,LEN('Contactos Agua Celica'!H310)))</f>
        <v/>
      </c>
      <c r="F313" s="11" t="s">
        <v>1267</v>
      </c>
      <c r="G313" s="19" t="str">
        <f>IF(ISBLANK('Contactos Agua Celica'!F310)," ","false")</f>
        <v>false</v>
      </c>
      <c r="H313" s="19" t="str">
        <f>IF(ISBLANK('Contactos Agua Celica'!F310)," ","0")</f>
        <v>0</v>
      </c>
      <c r="I313" s="19" t="str">
        <f>IF(ISBLANK('Contactos Agua Celica'!F310)," ","0")</f>
        <v>0</v>
      </c>
    </row>
    <row r="314" spans="1:9" x14ac:dyDescent="0.3">
      <c r="A314" s="19" t="s">
        <v>1141</v>
      </c>
      <c r="B314" s="20" t="str">
        <f>IF(ISBLANK('Contactos Agua Celica'!F311),"",'Contactos Agua Celica'!F311)</f>
        <v>Mercy Villena</v>
      </c>
      <c r="C314" s="18" t="str">
        <f>IF(ISBLANK('Contactos Agua Celica'!G311),"",'Contactos Agua Celica'!G311)</f>
        <v>+593 98 515 7661</v>
      </c>
      <c r="D314" s="19" t="str">
        <f>IF(ISBLANK('Contactos Agua Celica'!H311),"",MID('Contactos Agua Celica'!H311,1,FIND(",",'Contactos Agua Celica'!H311,1)-1))</f>
        <v>-4.103234549614035</v>
      </c>
      <c r="E314" s="19" t="str">
        <f>IF(ISBLANK('Contactos Agua Celica'!H311),"",MID('Contactos Agua Celica'!H311,FIND(",",'Contactos Agua Celica'!H311,1)+1,LEN('Contactos Agua Celica'!H311)))</f>
        <v xml:space="preserve"> -79.95554397999436</v>
      </c>
      <c r="F314" s="11" t="s">
        <v>1258</v>
      </c>
      <c r="G314" s="19" t="str">
        <f>IF(ISBLANK('Contactos Agua Celica'!F311)," ","false")</f>
        <v>false</v>
      </c>
      <c r="H314" s="19" t="str">
        <f>IF(ISBLANK('Contactos Agua Celica'!F311)," ","0")</f>
        <v>0</v>
      </c>
      <c r="I314" s="19" t="str">
        <f>IF(ISBLANK('Contactos Agua Celica'!F311)," ","0")</f>
        <v>0</v>
      </c>
    </row>
    <row r="315" spans="1:9" x14ac:dyDescent="0.3">
      <c r="A315" s="19" t="s">
        <v>1142</v>
      </c>
      <c r="B315" s="20" t="str">
        <f>IF(ISBLANK('Contactos Agua Celica'!F312),"",'Contactos Agua Celica'!F312)</f>
        <v>Mery Mendoza</v>
      </c>
      <c r="C315" s="18" t="str">
        <f>IF(ISBLANK('Contactos Agua Celica'!G312),"",'Contactos Agua Celica'!G312)</f>
        <v>+593 99 356 6282</v>
      </c>
      <c r="D315" s="19" t="str">
        <f>IF(ISBLANK('Contactos Agua Celica'!H312),"",MID('Contactos Agua Celica'!H312,1,FIND(",",'Contactos Agua Celica'!H312,1)-1))</f>
        <v>-4.098721411034919</v>
      </c>
      <c r="E315" s="19" t="str">
        <f>IF(ISBLANK('Contactos Agua Celica'!H312),"",MID('Contactos Agua Celica'!H312,FIND(",",'Contactos Agua Celica'!H312,1)+1,LEN('Contactos Agua Celica'!H312)))</f>
        <v xml:space="preserve"> -79.96139405733327</v>
      </c>
      <c r="F315" s="11" t="s">
        <v>1257</v>
      </c>
      <c r="G315" s="19" t="str">
        <f>IF(ISBLANK('Contactos Agua Celica'!F312)," ","false")</f>
        <v>false</v>
      </c>
      <c r="H315" s="19" t="str">
        <f>IF(ISBLANK('Contactos Agua Celica'!F312)," ","0")</f>
        <v>0</v>
      </c>
      <c r="I315" s="19" t="str">
        <f>IF(ISBLANK('Contactos Agua Celica'!F312)," ","0")</f>
        <v>0</v>
      </c>
    </row>
    <row r="316" spans="1:9" x14ac:dyDescent="0.3">
      <c r="A316" s="19" t="s">
        <v>1143</v>
      </c>
      <c r="B316" s="20" t="str">
        <f>IF(ISBLANK('Contactos Agua Celica'!F313),"",'Contactos Agua Celica'!F313)</f>
        <v>Micromercado01</v>
      </c>
      <c r="C316" s="18" t="str">
        <f>IF(ISBLANK('Contactos Agua Celica'!G313),"",'Contactos Agua Celica'!G313)</f>
        <v>098 187 1625</v>
      </c>
      <c r="D316" s="19" t="str">
        <f>IF(ISBLANK('Contactos Agua Celica'!H313),"",MID('Contactos Agua Celica'!H313,1,FIND(",",'Contactos Agua Celica'!H313,1)-1))</f>
        <v/>
      </c>
      <c r="E316" s="19" t="str">
        <f>IF(ISBLANK('Contactos Agua Celica'!H313),"",MID('Contactos Agua Celica'!H313,FIND(",",'Contactos Agua Celica'!H313,1)+1,LEN('Contactos Agua Celica'!H313)))</f>
        <v/>
      </c>
      <c r="F316" s="11" t="s">
        <v>1261</v>
      </c>
      <c r="G316" s="19" t="str">
        <f>IF(ISBLANK('Contactos Agua Celica'!F313)," ","false")</f>
        <v>false</v>
      </c>
      <c r="H316" s="19" t="str">
        <f>IF(ISBLANK('Contactos Agua Celica'!F313)," ","0")</f>
        <v>0</v>
      </c>
      <c r="I316" s="19" t="str">
        <f>IF(ISBLANK('Contactos Agua Celica'!F313)," ","0")</f>
        <v>0</v>
      </c>
    </row>
    <row r="317" spans="1:9" x14ac:dyDescent="0.3">
      <c r="A317" s="19" t="s">
        <v>1144</v>
      </c>
      <c r="B317" s="20" t="str">
        <f>IF(ISBLANK('Contactos Agua Celica'!F314),"",'Contactos Agua Celica'!F314)</f>
        <v>Miren Jumbo</v>
      </c>
      <c r="C317" s="18" t="str">
        <f>IF(ISBLANK('Contactos Agua Celica'!G314),"",'Contactos Agua Celica'!G314)</f>
        <v>+593 96 057 6419</v>
      </c>
      <c r="D317" s="19" t="str">
        <f>IF(ISBLANK('Contactos Agua Celica'!H314),"",MID('Contactos Agua Celica'!H314,1,FIND(",",'Contactos Agua Celica'!H314,1)-1))</f>
        <v/>
      </c>
      <c r="E317" s="19" t="str">
        <f>IF(ISBLANK('Contactos Agua Celica'!H314),"",MID('Contactos Agua Celica'!H314,FIND(",",'Contactos Agua Celica'!H314,1)+1,LEN('Contactos Agua Celica'!H314)))</f>
        <v/>
      </c>
      <c r="F317" s="11" t="s">
        <v>1261</v>
      </c>
      <c r="G317" s="19" t="str">
        <f>IF(ISBLANK('Contactos Agua Celica'!F314)," ","false")</f>
        <v>false</v>
      </c>
      <c r="H317" s="19" t="str">
        <f>IF(ISBLANK('Contactos Agua Celica'!F314)," ","0")</f>
        <v>0</v>
      </c>
      <c r="I317" s="19" t="str">
        <f>IF(ISBLANK('Contactos Agua Celica'!F314)," ","0")</f>
        <v>0</v>
      </c>
    </row>
    <row r="318" spans="1:9" x14ac:dyDescent="0.3">
      <c r="A318" s="19" t="s">
        <v>1145</v>
      </c>
      <c r="B318" s="20" t="str">
        <f>IF(ISBLANK('Contactos Agua Celica'!F315),"",'Contactos Agua Celica'!F315)</f>
        <v>Miriam Cárden</v>
      </c>
      <c r="C318" s="18" t="str">
        <f>IF(ISBLANK('Contactos Agua Celica'!G315),"",'Contactos Agua Celica'!G315)</f>
        <v>0969737092</v>
      </c>
      <c r="D318" s="19" t="str">
        <f>IF(ISBLANK('Contactos Agua Celica'!H315),"",MID('Contactos Agua Celica'!H315,1,FIND(",",'Contactos Agua Celica'!H315,1)-1))</f>
        <v>-4.102732453704307</v>
      </c>
      <c r="E318" s="19" t="str">
        <f>IF(ISBLANK('Contactos Agua Celica'!H315),"",MID('Contactos Agua Celica'!H315,FIND(",",'Contactos Agua Celica'!H315,1)+1,LEN('Contactos Agua Celica'!H315)))</f>
        <v xml:space="preserve"> -79.957899225712</v>
      </c>
      <c r="F318" s="11" t="s">
        <v>1267</v>
      </c>
      <c r="G318" s="19" t="str">
        <f>IF(ISBLANK('Contactos Agua Celica'!F315)," ","false")</f>
        <v>false</v>
      </c>
      <c r="H318" s="19" t="str">
        <f>IF(ISBLANK('Contactos Agua Celica'!F315)," ","0")</f>
        <v>0</v>
      </c>
      <c r="I318" s="19" t="str">
        <f>IF(ISBLANK('Contactos Agua Celica'!F315)," ","0")</f>
        <v>0</v>
      </c>
    </row>
    <row r="319" spans="1:9" x14ac:dyDescent="0.3">
      <c r="A319" s="19" t="s">
        <v>1146</v>
      </c>
      <c r="B319" s="20" t="str">
        <f>IF(ISBLANK('Contactos Agua Celica'!F316),"",'Contactos Agua Celica'!F316)</f>
        <v>Mishell Ludeña</v>
      </c>
      <c r="C319" s="18" t="str">
        <f>IF(ISBLANK('Contactos Agua Celica'!G316),"",'Contactos Agua Celica'!G316)</f>
        <v>+593 98 085 2412</v>
      </c>
      <c r="D319" s="19" t="str">
        <f>IF(ISBLANK('Contactos Agua Celica'!H316),"",MID('Contactos Agua Celica'!H316,1,FIND(",",'Contactos Agua Celica'!H316,1)-1))</f>
        <v>-4.102803706929868</v>
      </c>
      <c r="E319" s="19" t="str">
        <f>IF(ISBLANK('Contactos Agua Celica'!H316),"",MID('Contactos Agua Celica'!H316,FIND(",",'Contactos Agua Celica'!H316,1)+1,LEN('Contactos Agua Celica'!H316)))</f>
        <v xml:space="preserve"> -79.95618221937251</v>
      </c>
      <c r="F319" s="11" t="s">
        <v>1267</v>
      </c>
      <c r="G319" s="19" t="str">
        <f>IF(ISBLANK('Contactos Agua Celica'!F316)," ","false")</f>
        <v>false</v>
      </c>
      <c r="H319" s="19" t="str">
        <f>IF(ISBLANK('Contactos Agua Celica'!F316)," ","0")</f>
        <v>0</v>
      </c>
      <c r="I319" s="19" t="str">
        <f>IF(ISBLANK('Contactos Agua Celica'!F316)," ","0")</f>
        <v>0</v>
      </c>
    </row>
    <row r="320" spans="1:9" x14ac:dyDescent="0.3">
      <c r="A320" s="19" t="s">
        <v>1147</v>
      </c>
      <c r="B320" s="20" t="str">
        <f>IF(ISBLANK('Contactos Agua Celica'!F317),"",'Contactos Agua Celica'!F317)</f>
        <v>Montalvan</v>
      </c>
      <c r="C320" s="18" t="str">
        <f>IF(ISBLANK('Contactos Agua Celica'!G317),"",'Contactos Agua Celica'!G317)</f>
        <v>+593 99 709 8058</v>
      </c>
      <c r="D320" s="19" t="str">
        <f>IF(ISBLANK('Contactos Agua Celica'!H317),"",MID('Contactos Agua Celica'!H317,1,FIND(",",'Contactos Agua Celica'!H317,1)-1))</f>
        <v/>
      </c>
      <c r="E320" s="19" t="str">
        <f>IF(ISBLANK('Contactos Agua Celica'!H317),"",MID('Contactos Agua Celica'!H317,FIND(",",'Contactos Agua Celica'!H317,1)+1,LEN('Contactos Agua Celica'!H317)))</f>
        <v/>
      </c>
      <c r="F320" s="11" t="s">
        <v>1267</v>
      </c>
      <c r="G320" s="19" t="str">
        <f>IF(ISBLANK('Contactos Agua Celica'!F317)," ","false")</f>
        <v>false</v>
      </c>
      <c r="H320" s="19" t="str">
        <f>IF(ISBLANK('Contactos Agua Celica'!F317)," ","0")</f>
        <v>0</v>
      </c>
      <c r="I320" s="19" t="str">
        <f>IF(ISBLANK('Contactos Agua Celica'!F317)," ","0")</f>
        <v>0</v>
      </c>
    </row>
    <row r="321" spans="1:9" x14ac:dyDescent="0.3">
      <c r="A321" s="19" t="s">
        <v>1148</v>
      </c>
      <c r="B321" s="20" t="str">
        <f>IF(ISBLANK('Contactos Agua Celica'!F318),"",'Contactos Agua Celica'!F318)</f>
        <v>Mueblería Reina Del Cisne</v>
      </c>
      <c r="C321" s="18" t="str">
        <f>IF(ISBLANK('Contactos Agua Celica'!G318),"",'Contactos Agua Celica'!G318)</f>
        <v>+593 96 764 5352</v>
      </c>
      <c r="D321" s="19" t="str">
        <f>IF(ISBLANK('Contactos Agua Celica'!H318),"",MID('Contactos Agua Celica'!H318,1,FIND(",",'Contactos Agua Celica'!H318,1)-1))</f>
        <v>-4.1056210792303895</v>
      </c>
      <c r="E321" s="19" t="str">
        <f>IF(ISBLANK('Contactos Agua Celica'!H318),"",MID('Contactos Agua Celica'!H318,FIND(",",'Contactos Agua Celica'!H318,1)+1,LEN('Contactos Agua Celica'!H318)))</f>
        <v xml:space="preserve"> -79.95574892891614</v>
      </c>
      <c r="F321" s="11" t="s">
        <v>1269</v>
      </c>
      <c r="G321" s="19" t="str">
        <f>IF(ISBLANK('Contactos Agua Celica'!F318)," ","false")</f>
        <v>false</v>
      </c>
      <c r="H321" s="19" t="str">
        <f>IF(ISBLANK('Contactos Agua Celica'!F318)," ","0")</f>
        <v>0</v>
      </c>
      <c r="I321" s="19" t="str">
        <f>IF(ISBLANK('Contactos Agua Celica'!F318)," ","0")</f>
        <v>0</v>
      </c>
    </row>
    <row r="322" spans="1:9" x14ac:dyDescent="0.3">
      <c r="A322" s="19" t="s">
        <v>1149</v>
      </c>
      <c r="B322" s="20" t="str">
        <f>IF(ISBLANK('Contactos Agua Celica'!F319),"",'Contactos Agua Celica'!F319)</f>
        <v>Municipio</v>
      </c>
      <c r="C322" s="18" t="str">
        <f>IF(ISBLANK('Contactos Agua Celica'!G319),"",'Contactos Agua Celica'!G319)</f>
        <v>+593 95 982 5220</v>
      </c>
      <c r="D322" s="19" t="str">
        <f>IF(ISBLANK('Contactos Agua Celica'!H319),"",MID('Contactos Agua Celica'!H319,1,FIND(",",'Contactos Agua Celica'!H319,1)-1))</f>
        <v>-4.1032053191080164</v>
      </c>
      <c r="E322" s="19" t="str">
        <f>IF(ISBLANK('Contactos Agua Celica'!H319),"",MID('Contactos Agua Celica'!H319,FIND(",",'Contactos Agua Celica'!H319,1)+1,LEN('Contactos Agua Celica'!H319)))</f>
        <v xml:space="preserve"> -79.95556972720061</v>
      </c>
      <c r="F322" s="11" t="s">
        <v>1267</v>
      </c>
      <c r="G322" s="19" t="str">
        <f>IF(ISBLANK('Contactos Agua Celica'!F319)," ","false")</f>
        <v>false</v>
      </c>
      <c r="H322" s="19" t="str">
        <f>IF(ISBLANK('Contactos Agua Celica'!F319)," ","0")</f>
        <v>0</v>
      </c>
      <c r="I322" s="19" t="str">
        <f>IF(ISBLANK('Contactos Agua Celica'!F319)," ","0")</f>
        <v>0</v>
      </c>
    </row>
    <row r="323" spans="1:9" x14ac:dyDescent="0.3">
      <c r="A323" s="19" t="s">
        <v>1150</v>
      </c>
      <c r="B323" s="20" t="str">
        <f>IF(ISBLANK('Contactos Agua Celica'!F320),"",'Contactos Agua Celica'!F320)</f>
        <v>Municipio</v>
      </c>
      <c r="C323" s="18" t="str">
        <f>IF(ISBLANK('Contactos Agua Celica'!G320),"",'Contactos Agua Celica'!G320)</f>
        <v>0998491105</v>
      </c>
      <c r="D323" s="19" t="str">
        <f>IF(ISBLANK('Contactos Agua Celica'!H320),"",MID('Contactos Agua Celica'!H320,1,FIND(",",'Contactos Agua Celica'!H320,1)-1))</f>
        <v>-4.1032053191080164</v>
      </c>
      <c r="E323" s="19" t="str">
        <f>IF(ISBLANK('Contactos Agua Celica'!H320),"",MID('Contactos Agua Celica'!H320,FIND(",",'Contactos Agua Celica'!H320,1)+1,LEN('Contactos Agua Celica'!H320)))</f>
        <v xml:space="preserve"> -79.95556972720061</v>
      </c>
      <c r="F323" s="11" t="s">
        <v>1260</v>
      </c>
      <c r="G323" s="19" t="str">
        <f>IF(ISBLANK('Contactos Agua Celica'!F320)," ","false")</f>
        <v>false</v>
      </c>
      <c r="H323" s="19" t="str">
        <f>IF(ISBLANK('Contactos Agua Celica'!F320)," ","0")</f>
        <v>0</v>
      </c>
      <c r="I323" s="19" t="str">
        <f>IF(ISBLANK('Contactos Agua Celica'!F320)," ","0")</f>
        <v>0</v>
      </c>
    </row>
    <row r="324" spans="1:9" x14ac:dyDescent="0.3">
      <c r="A324" s="19" t="s">
        <v>1151</v>
      </c>
      <c r="B324" s="20" t="str">
        <f>IF(ISBLANK('Contactos Agua Celica'!F321),"",'Contactos Agua Celica'!F321)</f>
        <v>Nancy Cando</v>
      </c>
      <c r="C324" s="18" t="str">
        <f>IF(ISBLANK('Contactos Agua Celica'!G321),"",'Contactos Agua Celica'!G321)</f>
        <v>099 796 2200</v>
      </c>
      <c r="D324" s="19" t="str">
        <f>IF(ISBLANK('Contactos Agua Celica'!H321),"",MID('Contactos Agua Celica'!H321,1,FIND(",",'Contactos Agua Celica'!H321,1)-1))</f>
        <v/>
      </c>
      <c r="E324" s="19" t="str">
        <f>IF(ISBLANK('Contactos Agua Celica'!H321),"",MID('Contactos Agua Celica'!H321,FIND(",",'Contactos Agua Celica'!H321,1)+1,LEN('Contactos Agua Celica'!H321)))</f>
        <v/>
      </c>
      <c r="F324" s="11" t="s">
        <v>1267</v>
      </c>
      <c r="G324" s="19" t="str">
        <f>IF(ISBLANK('Contactos Agua Celica'!F321)," ","false")</f>
        <v>false</v>
      </c>
      <c r="H324" s="19" t="str">
        <f>IF(ISBLANK('Contactos Agua Celica'!F321)," ","0")</f>
        <v>0</v>
      </c>
      <c r="I324" s="19" t="str">
        <f>IF(ISBLANK('Contactos Agua Celica'!F321)," ","0")</f>
        <v>0</v>
      </c>
    </row>
    <row r="325" spans="1:9" x14ac:dyDescent="0.3">
      <c r="A325" s="19" t="s">
        <v>1152</v>
      </c>
      <c r="B325" s="20" t="str">
        <f>IF(ISBLANK('Contactos Agua Celica'!F322),"",'Contactos Agua Celica'!F322)</f>
        <v>Natalia Zatama</v>
      </c>
      <c r="C325" s="18" t="str">
        <f>IF(ISBLANK('Contactos Agua Celica'!G322),"",'Contactos Agua Celica'!G322)</f>
        <v>+593 98 573 6389</v>
      </c>
      <c r="D325" s="19" t="str">
        <f>IF(ISBLANK('Contactos Agua Celica'!H322),"",MID('Contactos Agua Celica'!H322,1,FIND(",",'Contactos Agua Celica'!H322,1)-1))</f>
        <v>-4.10312218558748</v>
      </c>
      <c r="E325" s="19" t="str">
        <f>IF(ISBLANK('Contactos Agua Celica'!H322),"",MID('Contactos Agua Celica'!H322,FIND(",",'Contactos Agua Celica'!H322,1)+1,LEN('Contactos Agua Celica'!H322)))</f>
        <v xml:space="preserve"> -79.95557348429305</v>
      </c>
      <c r="F325" s="11" t="s">
        <v>1268</v>
      </c>
      <c r="G325" s="19" t="str">
        <f>IF(ISBLANK('Contactos Agua Celica'!F322)," ","false")</f>
        <v>false</v>
      </c>
      <c r="H325" s="19" t="str">
        <f>IF(ISBLANK('Contactos Agua Celica'!F322)," ","0")</f>
        <v>0</v>
      </c>
      <c r="I325" s="19" t="str">
        <f>IF(ISBLANK('Contactos Agua Celica'!F322)," ","0")</f>
        <v>0</v>
      </c>
    </row>
    <row r="326" spans="1:9" x14ac:dyDescent="0.3">
      <c r="A326" s="19" t="s">
        <v>1153</v>
      </c>
      <c r="B326" s="20" t="str">
        <f>IF(ISBLANK('Contactos Agua Celica'!F323),"",'Contactos Agua Celica'!F323)</f>
        <v>Negro Mario</v>
      </c>
      <c r="C326" s="18" t="str">
        <f>IF(ISBLANK('Contactos Agua Celica'!G323),"",'Contactos Agua Celica'!G323)</f>
        <v/>
      </c>
      <c r="D326" s="19" t="str">
        <f>IF(ISBLANK('Contactos Agua Celica'!H323),"",MID('Contactos Agua Celica'!H323,1,FIND(",",'Contactos Agua Celica'!H323,1)-1))</f>
        <v>-4.102946558599325</v>
      </c>
      <c r="E326" s="19" t="str">
        <f>IF(ISBLANK('Contactos Agua Celica'!H323),"",MID('Contactos Agua Celica'!H323,FIND(",",'Contactos Agua Celica'!H323,1)+1,LEN('Contactos Agua Celica'!H323)))</f>
        <v xml:space="preserve"> -79.95547279318325</v>
      </c>
      <c r="F326" s="11" t="s">
        <v>1267</v>
      </c>
      <c r="G326" s="19" t="str">
        <f>IF(ISBLANK('Contactos Agua Celica'!F323)," ","false")</f>
        <v>false</v>
      </c>
      <c r="H326" s="19" t="str">
        <f>IF(ISBLANK('Contactos Agua Celica'!F323)," ","0")</f>
        <v>0</v>
      </c>
      <c r="I326" s="19" t="str">
        <f>IF(ISBLANK('Contactos Agua Celica'!F323)," ","0")</f>
        <v>0</v>
      </c>
    </row>
    <row r="327" spans="1:9" x14ac:dyDescent="0.3">
      <c r="A327" s="19" t="s">
        <v>1154</v>
      </c>
      <c r="B327" s="20" t="str">
        <f>IF(ISBLANK('Contactos Agua Celica'!F324),"",'Contactos Agua Celica'!F324)</f>
        <v>Negro Mario Bustamante</v>
      </c>
      <c r="C327" s="18" t="str">
        <f>IF(ISBLANK('Contactos Agua Celica'!G324),"",'Contactos Agua Celica'!G324)</f>
        <v/>
      </c>
      <c r="D327" s="19" t="str">
        <f>IF(ISBLANK('Contactos Agua Celica'!H324),"",MID('Contactos Agua Celica'!H324,1,FIND(",",'Contactos Agua Celica'!H324,1)-1))</f>
        <v>-4.102946558599325</v>
      </c>
      <c r="E327" s="19" t="str">
        <f>IF(ISBLANK('Contactos Agua Celica'!H324),"",MID('Contactos Agua Celica'!H324,FIND(",",'Contactos Agua Celica'!H324,1)+1,LEN('Contactos Agua Celica'!H324)))</f>
        <v xml:space="preserve"> -79.95547279318325</v>
      </c>
      <c r="F327" s="11" t="s">
        <v>1258</v>
      </c>
      <c r="G327" s="19" t="str">
        <f>IF(ISBLANK('Contactos Agua Celica'!F324)," ","false")</f>
        <v>false</v>
      </c>
      <c r="H327" s="19" t="str">
        <f>IF(ISBLANK('Contactos Agua Celica'!F324)," ","0")</f>
        <v>0</v>
      </c>
      <c r="I327" s="19" t="str">
        <f>IF(ISBLANK('Contactos Agua Celica'!F324)," ","0")</f>
        <v>0</v>
      </c>
    </row>
    <row r="328" spans="1:9" x14ac:dyDescent="0.3">
      <c r="A328" s="19" t="s">
        <v>1155</v>
      </c>
      <c r="B328" s="20" t="str">
        <f>IF(ISBLANK('Contactos Agua Celica'!F325),"",'Contactos Agua Celica'!F325)</f>
        <v>Nelson &amp; Bodega De Gas</v>
      </c>
      <c r="C328" s="18" t="str">
        <f>IF(ISBLANK('Contactos Agua Celica'!G325),"",'Contactos Agua Celica'!G325)</f>
        <v>+593 99 784 2341</v>
      </c>
      <c r="D328" s="19" t="str">
        <f>IF(ISBLANK('Contactos Agua Celica'!H325),"",MID('Contactos Agua Celica'!H325,1,FIND(",",'Contactos Agua Celica'!H325,1)-1))</f>
        <v/>
      </c>
      <c r="E328" s="19" t="str">
        <f>IF(ISBLANK('Contactos Agua Celica'!H325),"",MID('Contactos Agua Celica'!H325,FIND(",",'Contactos Agua Celica'!H325,1)+1,LEN('Contactos Agua Celica'!H325)))</f>
        <v/>
      </c>
      <c r="F328" s="11" t="s">
        <v>1261</v>
      </c>
      <c r="G328" s="19" t="str">
        <f>IF(ISBLANK('Contactos Agua Celica'!F325)," ","false")</f>
        <v>false</v>
      </c>
      <c r="H328" s="19" t="str">
        <f>IF(ISBLANK('Contactos Agua Celica'!F325)," ","0")</f>
        <v>0</v>
      </c>
      <c r="I328" s="19" t="str">
        <f>IF(ISBLANK('Contactos Agua Celica'!F325)," ","0")</f>
        <v>0</v>
      </c>
    </row>
    <row r="329" spans="1:9" x14ac:dyDescent="0.3">
      <c r="A329" s="19" t="s">
        <v>1156</v>
      </c>
      <c r="B329" s="20" t="str">
        <f>IF(ISBLANK('Contactos Agua Celica'!F326),"",'Contactos Agua Celica'!F326)</f>
        <v>Nely Torres</v>
      </c>
      <c r="C329" s="18" t="str">
        <f>IF(ISBLANK('Contactos Agua Celica'!G326),"",'Contactos Agua Celica'!G326)</f>
        <v>+593 98 998 3496</v>
      </c>
      <c r="D329" s="19" t="str">
        <f>IF(ISBLANK('Contactos Agua Celica'!H326),"",MID('Contactos Agua Celica'!H326,1,FIND(",",'Contactos Agua Celica'!H326,1)-1))</f>
        <v>-4.106234839220439</v>
      </c>
      <c r="E329" s="19" t="str">
        <f>IF(ISBLANK('Contactos Agua Celica'!H326),"",MID('Contactos Agua Celica'!H326,FIND(",",'Contactos Agua Celica'!H326,1)+1,LEN('Contactos Agua Celica'!H326)))</f>
        <v xml:space="preserve"> -79.95475163959175</v>
      </c>
      <c r="F329" s="11" t="s">
        <v>1253</v>
      </c>
      <c r="G329" s="19" t="str">
        <f>IF(ISBLANK('Contactos Agua Celica'!F326)," ","false")</f>
        <v>false</v>
      </c>
      <c r="H329" s="19" t="str">
        <f>IF(ISBLANK('Contactos Agua Celica'!F326)," ","0")</f>
        <v>0</v>
      </c>
      <c r="I329" s="19" t="str">
        <f>IF(ISBLANK('Contactos Agua Celica'!F326)," ","0")</f>
        <v>0</v>
      </c>
    </row>
    <row r="330" spans="1:9" x14ac:dyDescent="0.3">
      <c r="A330" s="19" t="s">
        <v>1157</v>
      </c>
      <c r="B330" s="20" t="str">
        <f>IF(ISBLANK('Contactos Agua Celica'!F327),"",'Contactos Agua Celica'!F327)</f>
        <v>Néstor Pdre</v>
      </c>
      <c r="C330" s="18" t="str">
        <f>IF(ISBLANK('Contactos Agua Celica'!G327),"",'Contactos Agua Celica'!G327)</f>
        <v>+593 99 321 0666</v>
      </c>
      <c r="D330" s="19" t="str">
        <f>IF(ISBLANK('Contactos Agua Celica'!H327),"",MID('Contactos Agua Celica'!H327,1,FIND(",",'Contactos Agua Celica'!H327,1)-1))</f>
        <v/>
      </c>
      <c r="E330" s="19" t="str">
        <f>IF(ISBLANK('Contactos Agua Celica'!H327),"",MID('Contactos Agua Celica'!H327,FIND(",",'Contactos Agua Celica'!H327,1)+1,LEN('Contactos Agua Celica'!H327)))</f>
        <v/>
      </c>
      <c r="F330" s="11" t="s">
        <v>1258</v>
      </c>
      <c r="G330" s="19" t="str">
        <f>IF(ISBLANK('Contactos Agua Celica'!F327)," ","false")</f>
        <v>false</v>
      </c>
      <c r="H330" s="19" t="str">
        <f>IF(ISBLANK('Contactos Agua Celica'!F327)," ","0")</f>
        <v>0</v>
      </c>
      <c r="I330" s="19" t="str">
        <f>IF(ISBLANK('Contactos Agua Celica'!F327)," ","0")</f>
        <v>0</v>
      </c>
    </row>
    <row r="331" spans="1:9" x14ac:dyDescent="0.3">
      <c r="A331" s="19" t="s">
        <v>1158</v>
      </c>
      <c r="B331" s="20" t="str">
        <f>IF(ISBLANK('Contactos Agua Celica'!F328),"",'Contactos Agua Celica'!F328)</f>
        <v>Nicolas Ortiz</v>
      </c>
      <c r="C331" s="18" t="str">
        <f>IF(ISBLANK('Contactos Agua Celica'!G328),"",'Contactos Agua Celica'!G328)</f>
        <v>+593 96 072 3324</v>
      </c>
      <c r="D331" s="19" t="str">
        <f>IF(ISBLANK('Contactos Agua Celica'!H328),"",MID('Contactos Agua Celica'!H328,1,FIND(",",'Contactos Agua Celica'!H328,1)-1))</f>
        <v/>
      </c>
      <c r="E331" s="19" t="str">
        <f>IF(ISBLANK('Contactos Agua Celica'!H328),"",MID('Contactos Agua Celica'!H328,FIND(",",'Contactos Agua Celica'!H328,1)+1,LEN('Contactos Agua Celica'!H328)))</f>
        <v/>
      </c>
      <c r="F331" s="11" t="s">
        <v>1262</v>
      </c>
      <c r="G331" s="19" t="str">
        <f>IF(ISBLANK('Contactos Agua Celica'!F328)," ","false")</f>
        <v>false</v>
      </c>
      <c r="H331" s="19" t="str">
        <f>IF(ISBLANK('Contactos Agua Celica'!F328)," ","0")</f>
        <v>0</v>
      </c>
      <c r="I331" s="19" t="str">
        <f>IF(ISBLANK('Contactos Agua Celica'!F328)," ","0")</f>
        <v>0</v>
      </c>
    </row>
    <row r="332" spans="1:9" x14ac:dyDescent="0.3">
      <c r="A332" s="19" t="s">
        <v>1159</v>
      </c>
      <c r="B332" s="20" t="str">
        <f>IF(ISBLANK('Contactos Agua Celica'!F329),"",'Contactos Agua Celica'!F329)</f>
        <v>Nixon</v>
      </c>
      <c r="C332" s="18" t="str">
        <f>IF(ISBLANK('Contactos Agua Celica'!G329),"",'Contactos Agua Celica'!G329)</f>
        <v>+593 99 851 1522</v>
      </c>
      <c r="D332" s="19" t="str">
        <f>IF(ISBLANK('Contactos Agua Celica'!H329),"",MID('Contactos Agua Celica'!H329,1,FIND(",",'Contactos Agua Celica'!H329,1)-1))</f>
        <v/>
      </c>
      <c r="E332" s="19" t="str">
        <f>IF(ISBLANK('Contactos Agua Celica'!H329),"",MID('Contactos Agua Celica'!H329,FIND(",",'Contactos Agua Celica'!H329,1)+1,LEN('Contactos Agua Celica'!H329)))</f>
        <v/>
      </c>
      <c r="F332" s="11" t="s">
        <v>1267</v>
      </c>
      <c r="G332" s="19" t="str">
        <f>IF(ISBLANK('Contactos Agua Celica'!F329)," ","false")</f>
        <v>false</v>
      </c>
      <c r="H332" s="19" t="str">
        <f>IF(ISBLANK('Contactos Agua Celica'!F329)," ","0")</f>
        <v>0</v>
      </c>
      <c r="I332" s="19" t="str">
        <f>IF(ISBLANK('Contactos Agua Celica'!F329)," ","0")</f>
        <v>0</v>
      </c>
    </row>
    <row r="333" spans="1:9" x14ac:dyDescent="0.3">
      <c r="A333" s="19" t="s">
        <v>1160</v>
      </c>
      <c r="B333" s="20" t="str">
        <f>IF(ISBLANK('Contactos Agua Celica'!F330),"",'Contactos Agua Celica'!F330)</f>
        <v>NOVEDADES Y VARIEDADES MLK</v>
      </c>
      <c r="C333" s="18" t="str">
        <f>IF(ISBLANK('Contactos Agua Celica'!G330),"",'Contactos Agua Celica'!G330)</f>
        <v>+593 98 475 1927</v>
      </c>
      <c r="D333" s="19" t="str">
        <f>IF(ISBLANK('Contactos Agua Celica'!H330),"",MID('Contactos Agua Celica'!H330,1,FIND(",",'Contactos Agua Celica'!H330,1)-1))</f>
        <v/>
      </c>
      <c r="E333" s="19" t="str">
        <f>IF(ISBLANK('Contactos Agua Celica'!H330),"",MID('Contactos Agua Celica'!H330,FIND(",",'Contactos Agua Celica'!H330,1)+1,LEN('Contactos Agua Celica'!H330)))</f>
        <v/>
      </c>
      <c r="F333" s="11" t="s">
        <v>1267</v>
      </c>
      <c r="G333" s="19" t="str">
        <f>IF(ISBLANK('Contactos Agua Celica'!F330)," ","false")</f>
        <v>false</v>
      </c>
      <c r="H333" s="19" t="str">
        <f>IF(ISBLANK('Contactos Agua Celica'!F330)," ","0")</f>
        <v>0</v>
      </c>
      <c r="I333" s="19" t="str">
        <f>IF(ISBLANK('Contactos Agua Celica'!F330)," ","0")</f>
        <v>0</v>
      </c>
    </row>
    <row r="334" spans="1:9" x14ac:dyDescent="0.3">
      <c r="A334" s="19" t="s">
        <v>1161</v>
      </c>
      <c r="B334" s="20" t="str">
        <f>IF(ISBLANK('Contactos Agua Celica'!F331),"",'Contactos Agua Celica'!F331)</f>
        <v>Ñañ Daniel</v>
      </c>
      <c r="C334" s="18" t="str">
        <f>IF(ISBLANK('Contactos Agua Celica'!G331),"",'Contactos Agua Celica'!G331)</f>
        <v>+593 99 303 0475</v>
      </c>
      <c r="D334" s="19" t="str">
        <f>IF(ISBLANK('Contactos Agua Celica'!H331),"",MID('Contactos Agua Celica'!H331,1,FIND(",",'Contactos Agua Celica'!H331,1)-1))</f>
        <v/>
      </c>
      <c r="E334" s="19" t="str">
        <f>IF(ISBLANK('Contactos Agua Celica'!H331),"",MID('Contactos Agua Celica'!H331,FIND(",",'Contactos Agua Celica'!H331,1)+1,LEN('Contactos Agua Celica'!H331)))</f>
        <v/>
      </c>
      <c r="F334" s="11" t="s">
        <v>1267</v>
      </c>
      <c r="G334" s="19" t="str">
        <f>IF(ISBLANK('Contactos Agua Celica'!F331)," ","false")</f>
        <v>false</v>
      </c>
      <c r="H334" s="19" t="str">
        <f>IF(ISBLANK('Contactos Agua Celica'!F331)," ","0")</f>
        <v>0</v>
      </c>
      <c r="I334" s="19" t="str">
        <f>IF(ISBLANK('Contactos Agua Celica'!F331)," ","0")</f>
        <v>0</v>
      </c>
    </row>
    <row r="335" spans="1:9" x14ac:dyDescent="0.3">
      <c r="A335" s="19" t="s">
        <v>1162</v>
      </c>
      <c r="B335" s="20" t="str">
        <f>IF(ISBLANK('Contactos Agua Celica'!F332),"",'Contactos Agua Celica'!F332)</f>
        <v>Obst. Teresa Viz</v>
      </c>
      <c r="C335" s="18" t="str">
        <f>IF(ISBLANK('Contactos Agua Celica'!G332),"",'Contactos Agua Celica'!G332)</f>
        <v>0992257495</v>
      </c>
      <c r="D335" s="19" t="str">
        <f>IF(ISBLANK('Contactos Agua Celica'!H332),"",MID('Contactos Agua Celica'!H332,1,FIND(",",'Contactos Agua Celica'!H332,1)-1))</f>
        <v/>
      </c>
      <c r="E335" s="19" t="str">
        <f>IF(ISBLANK('Contactos Agua Celica'!H332),"",MID('Contactos Agua Celica'!H332,FIND(",",'Contactos Agua Celica'!H332,1)+1,LEN('Contactos Agua Celica'!H332)))</f>
        <v/>
      </c>
      <c r="F335" s="11" t="s">
        <v>1267</v>
      </c>
      <c r="G335" s="19" t="str">
        <f>IF(ISBLANK('Contactos Agua Celica'!F332)," ","false")</f>
        <v>false</v>
      </c>
      <c r="H335" s="19" t="str">
        <f>IF(ISBLANK('Contactos Agua Celica'!F332)," ","0")</f>
        <v>0</v>
      </c>
      <c r="I335" s="19" t="str">
        <f>IF(ISBLANK('Contactos Agua Celica'!F332)," ","0")</f>
        <v>0</v>
      </c>
    </row>
    <row r="336" spans="1:9" x14ac:dyDescent="0.3">
      <c r="A336" s="19" t="s">
        <v>1163</v>
      </c>
      <c r="B336" s="20" t="str">
        <f>IF(ISBLANK('Contactos Agua Celica'!F333),"",'Contactos Agua Celica'!F333)</f>
        <v>Olga Chavez</v>
      </c>
      <c r="C336" s="18" t="str">
        <f>IF(ISBLANK('Contactos Agua Celica'!G333),"",'Contactos Agua Celica'!G333)</f>
        <v>098 816 8818</v>
      </c>
      <c r="D336" s="19" t="str">
        <f>IF(ISBLANK('Contactos Agua Celica'!H333),"",MID('Contactos Agua Celica'!H333,1,FIND(",",'Contactos Agua Celica'!H333,1)-1))</f>
        <v/>
      </c>
      <c r="E336" s="19" t="str">
        <f>IF(ISBLANK('Contactos Agua Celica'!H333),"",MID('Contactos Agua Celica'!H333,FIND(",",'Contactos Agua Celica'!H333,1)+1,LEN('Contactos Agua Celica'!H333)))</f>
        <v/>
      </c>
      <c r="F336" s="11" t="s">
        <v>1258</v>
      </c>
      <c r="G336" s="19" t="str">
        <f>IF(ISBLANK('Contactos Agua Celica'!F333)," ","false")</f>
        <v>false</v>
      </c>
      <c r="H336" s="19" t="str">
        <f>IF(ISBLANK('Contactos Agua Celica'!F333)," ","0")</f>
        <v>0</v>
      </c>
      <c r="I336" s="19" t="str">
        <f>IF(ISBLANK('Contactos Agua Celica'!F333)," ","0")</f>
        <v>0</v>
      </c>
    </row>
    <row r="337" spans="1:9" x14ac:dyDescent="0.3">
      <c r="A337" s="19" t="s">
        <v>1164</v>
      </c>
      <c r="B337" s="20" t="str">
        <f>IF(ISBLANK('Contactos Agua Celica'!F334),"",'Contactos Agua Celica'!F334)</f>
        <v>Olga Garcia</v>
      </c>
      <c r="C337" s="18" t="str">
        <f>IF(ISBLANK('Contactos Agua Celica'!G334),"",'Contactos Agua Celica'!G334)</f>
        <v>+593 96 704 5711</v>
      </c>
      <c r="D337" s="19" t="str">
        <f>IF(ISBLANK('Contactos Agua Celica'!H334),"",MID('Contactos Agua Celica'!H334,1,FIND(",",'Contactos Agua Celica'!H334,1)-1))</f>
        <v>-4.103271686552543</v>
      </c>
      <c r="E337" s="19" t="str">
        <f>IF(ISBLANK('Contactos Agua Celica'!H334),"",MID('Contactos Agua Celica'!H334,FIND(",",'Contactos Agua Celica'!H334,1)+1,LEN('Contactos Agua Celica'!H334)))</f>
        <v xml:space="preserve"> -79.9566682607841</v>
      </c>
      <c r="F337" s="11" t="s">
        <v>1263</v>
      </c>
      <c r="G337" s="19" t="str">
        <f>IF(ISBLANK('Contactos Agua Celica'!F334)," ","false")</f>
        <v>false</v>
      </c>
      <c r="H337" s="19" t="str">
        <f>IF(ISBLANK('Contactos Agua Celica'!F334)," ","0")</f>
        <v>0</v>
      </c>
      <c r="I337" s="19" t="str">
        <f>IF(ISBLANK('Contactos Agua Celica'!F334)," ","0")</f>
        <v>0</v>
      </c>
    </row>
    <row r="338" spans="1:9" x14ac:dyDescent="0.3">
      <c r="A338" s="19" t="s">
        <v>1165</v>
      </c>
      <c r="B338" s="20" t="str">
        <f>IF(ISBLANK('Contactos Agua Celica'!F335),"",'Contactos Agua Celica'!F335)</f>
        <v>Omar Martínez</v>
      </c>
      <c r="C338" s="18" t="str">
        <f>IF(ISBLANK('Contactos Agua Celica'!G335),"",'Contactos Agua Celica'!G335)</f>
        <v>+593 98 181 5645</v>
      </c>
      <c r="D338" s="19" t="str">
        <f>IF(ISBLANK('Contactos Agua Celica'!H335),"",MID('Contactos Agua Celica'!H335,1,FIND(",",'Contactos Agua Celica'!H335,1)-1))</f>
        <v/>
      </c>
      <c r="E338" s="19" t="str">
        <f>IF(ISBLANK('Contactos Agua Celica'!H335),"",MID('Contactos Agua Celica'!H335,FIND(",",'Contactos Agua Celica'!H335,1)+1,LEN('Contactos Agua Celica'!H335)))</f>
        <v/>
      </c>
      <c r="F338" s="11" t="s">
        <v>1263</v>
      </c>
      <c r="G338" s="19" t="str">
        <f>IF(ISBLANK('Contactos Agua Celica'!F335)," ","false")</f>
        <v>false</v>
      </c>
      <c r="H338" s="19" t="str">
        <f>IF(ISBLANK('Contactos Agua Celica'!F335)," ","0")</f>
        <v>0</v>
      </c>
      <c r="I338" s="19" t="str">
        <f>IF(ISBLANK('Contactos Agua Celica'!F335)," ","0")</f>
        <v>0</v>
      </c>
    </row>
    <row r="339" spans="1:9" x14ac:dyDescent="0.3">
      <c r="A339" s="19" t="s">
        <v>1166</v>
      </c>
      <c r="B339" s="20" t="str">
        <f>IF(ISBLANK('Contactos Agua Celica'!F336),"",'Contactos Agua Celica'!F336)</f>
        <v>Oscar Guaycha</v>
      </c>
      <c r="C339" s="18" t="str">
        <f>IF(ISBLANK('Contactos Agua Celica'!G336),"",'Contactos Agua Celica'!G336)</f>
        <v>07 265-7227</v>
      </c>
      <c r="D339" s="19" t="str">
        <f>IF(ISBLANK('Contactos Agua Celica'!H336),"",MID('Contactos Agua Celica'!H336,1,FIND(",",'Contactos Agua Celica'!H336,1)-1))</f>
        <v/>
      </c>
      <c r="E339" s="19" t="str">
        <f>IF(ISBLANK('Contactos Agua Celica'!H336),"",MID('Contactos Agua Celica'!H336,FIND(",",'Contactos Agua Celica'!H336,1)+1,LEN('Contactos Agua Celica'!H336)))</f>
        <v/>
      </c>
      <c r="F339" s="11" t="s">
        <v>1268</v>
      </c>
      <c r="G339" s="19" t="str">
        <f>IF(ISBLANK('Contactos Agua Celica'!F336)," ","false")</f>
        <v>false</v>
      </c>
      <c r="H339" s="19" t="str">
        <f>IF(ISBLANK('Contactos Agua Celica'!F336)," ","0")</f>
        <v>0</v>
      </c>
      <c r="I339" s="19" t="str">
        <f>IF(ISBLANK('Contactos Agua Celica'!F336)," ","0")</f>
        <v>0</v>
      </c>
    </row>
    <row r="340" spans="1:9" x14ac:dyDescent="0.3">
      <c r="A340" s="19" t="s">
        <v>1167</v>
      </c>
      <c r="B340" s="20" t="str">
        <f>IF(ISBLANK('Contactos Agua Celica'!F337),"",'Contactos Agua Celica'!F337)</f>
        <v>Paco Landi</v>
      </c>
      <c r="C340" s="18" t="str">
        <f>IF(ISBLANK('Contactos Agua Celica'!G337),"",'Contactos Agua Celica'!G337)</f>
        <v>098 644 6691</v>
      </c>
      <c r="D340" s="19" t="str">
        <f>IF(ISBLANK('Contactos Agua Celica'!H337),"",MID('Contactos Agua Celica'!H337,1,FIND(",",'Contactos Agua Celica'!H337,1)-1))</f>
        <v/>
      </c>
      <c r="E340" s="19" t="str">
        <f>IF(ISBLANK('Contactos Agua Celica'!H337),"",MID('Contactos Agua Celica'!H337,FIND(",",'Contactos Agua Celica'!H337,1)+1,LEN('Contactos Agua Celica'!H337)))</f>
        <v/>
      </c>
      <c r="F340" s="11" t="s">
        <v>1267</v>
      </c>
      <c r="G340" s="19" t="str">
        <f>IF(ISBLANK('Contactos Agua Celica'!F337)," ","false")</f>
        <v>false</v>
      </c>
      <c r="H340" s="19" t="str">
        <f>IF(ISBLANK('Contactos Agua Celica'!F337)," ","0")</f>
        <v>0</v>
      </c>
      <c r="I340" s="19" t="str">
        <f>IF(ISBLANK('Contactos Agua Celica'!F337)," ","0")</f>
        <v>0</v>
      </c>
    </row>
    <row r="341" spans="1:9" x14ac:dyDescent="0.3">
      <c r="A341" s="19" t="s">
        <v>1168</v>
      </c>
      <c r="B341" s="20" t="str">
        <f>IF(ISBLANK('Contactos Agua Celica'!F338),"",'Contactos Agua Celica'!F338)</f>
        <v>Pajarita</v>
      </c>
      <c r="C341" s="18" t="str">
        <f>IF(ISBLANK('Contactos Agua Celica'!G338),"",'Contactos Agua Celica'!G338)</f>
        <v>+593 99 208 2718</v>
      </c>
      <c r="D341" s="19" t="str">
        <f>IF(ISBLANK('Contactos Agua Celica'!H338),"",MID('Contactos Agua Celica'!H338,1,FIND(",",'Contactos Agua Celica'!H338,1)-1))</f>
        <v/>
      </c>
      <c r="E341" s="19" t="str">
        <f>IF(ISBLANK('Contactos Agua Celica'!H338),"",MID('Contactos Agua Celica'!H338,FIND(",",'Contactos Agua Celica'!H338,1)+1,LEN('Contactos Agua Celica'!H338)))</f>
        <v/>
      </c>
      <c r="F341" s="11" t="s">
        <v>1267</v>
      </c>
      <c r="G341" s="19" t="str">
        <f>IF(ISBLANK('Contactos Agua Celica'!F338)," ","false")</f>
        <v>false</v>
      </c>
      <c r="H341" s="19" t="str">
        <f>IF(ISBLANK('Contactos Agua Celica'!F338)," ","0")</f>
        <v>0</v>
      </c>
      <c r="I341" s="19" t="str">
        <f>IF(ISBLANK('Contactos Agua Celica'!F338)," ","0")</f>
        <v>0</v>
      </c>
    </row>
    <row r="342" spans="1:9" x14ac:dyDescent="0.3">
      <c r="A342" s="19" t="s">
        <v>1169</v>
      </c>
      <c r="B342" s="20" t="str">
        <f>IF(ISBLANK('Contactos Agua Celica'!F339),"",'Contactos Agua Celica'!F339)</f>
        <v>Paquita Torres</v>
      </c>
      <c r="C342" s="18" t="str">
        <f>IF(ISBLANK('Contactos Agua Celica'!G339),"",'Contactos Agua Celica'!G339)</f>
        <v>+593 98 003 7236</v>
      </c>
      <c r="D342" s="19" t="str">
        <f>IF(ISBLANK('Contactos Agua Celica'!H339),"",MID('Contactos Agua Celica'!H339,1,FIND(",",'Contactos Agua Celica'!H339,1)-1))</f>
        <v>-4.111207067011717</v>
      </c>
      <c r="E342" s="19" t="str">
        <f>IF(ISBLANK('Contactos Agua Celica'!H339),"",MID('Contactos Agua Celica'!H339,FIND(",",'Contactos Agua Celica'!H339,1)+1,LEN('Contactos Agua Celica'!H339)))</f>
        <v xml:space="preserve"> -79.95371098819442</v>
      </c>
      <c r="F342" s="11" t="s">
        <v>1267</v>
      </c>
      <c r="G342" s="19" t="str">
        <f>IF(ISBLANK('Contactos Agua Celica'!F339)," ","false")</f>
        <v>false</v>
      </c>
      <c r="H342" s="19" t="str">
        <f>IF(ISBLANK('Contactos Agua Celica'!F339)," ","0")</f>
        <v>0</v>
      </c>
      <c r="I342" s="19" t="str">
        <f>IF(ISBLANK('Contactos Agua Celica'!F339)," ","0")</f>
        <v>0</v>
      </c>
    </row>
    <row r="343" spans="1:9" x14ac:dyDescent="0.3">
      <c r="A343" s="19" t="s">
        <v>1170</v>
      </c>
      <c r="B343" s="20" t="str">
        <f>IF(ISBLANK('Contactos Agua Celica'!F340),"",'Contactos Agua Celica'!F340)</f>
        <v>Patricia Bustamante</v>
      </c>
      <c r="C343" s="18" t="str">
        <f>IF(ISBLANK('Contactos Agua Celica'!G340),"",'Contactos Agua Celica'!G340)</f>
        <v>+593 99 490 1168</v>
      </c>
      <c r="D343" s="19" t="str">
        <f>IF(ISBLANK('Contactos Agua Celica'!H340),"",MID('Contactos Agua Celica'!H340,1,FIND(",",'Contactos Agua Celica'!H340,1)-1))</f>
        <v/>
      </c>
      <c r="E343" s="19" t="str">
        <f>IF(ISBLANK('Contactos Agua Celica'!H340),"",MID('Contactos Agua Celica'!H340,FIND(",",'Contactos Agua Celica'!H340,1)+1,LEN('Contactos Agua Celica'!H340)))</f>
        <v/>
      </c>
      <c r="F343" s="11" t="s">
        <v>1267</v>
      </c>
      <c r="G343" s="19" t="str">
        <f>IF(ISBLANK('Contactos Agua Celica'!F340)," ","false")</f>
        <v>false</v>
      </c>
      <c r="H343" s="19" t="str">
        <f>IF(ISBLANK('Contactos Agua Celica'!F340)," ","0")</f>
        <v>0</v>
      </c>
      <c r="I343" s="19" t="str">
        <f>IF(ISBLANK('Contactos Agua Celica'!F340)," ","0")</f>
        <v>0</v>
      </c>
    </row>
    <row r="344" spans="1:9" x14ac:dyDescent="0.3">
      <c r="A344" s="19" t="s">
        <v>1171</v>
      </c>
      <c r="B344" s="20" t="str">
        <f>IF(ISBLANK('Contactos Agua Celica'!F341),"",'Contactos Agua Celica'!F341)</f>
        <v>Patricio Villas</v>
      </c>
      <c r="C344" s="18" t="str">
        <f>IF(ISBLANK('Contactos Agua Celica'!G341),"",'Contactos Agua Celica'!G341)</f>
        <v>+593 99 109 6260</v>
      </c>
      <c r="D344" s="19" t="str">
        <f>IF(ISBLANK('Contactos Agua Celica'!H341),"",MID('Contactos Agua Celica'!H341,1,FIND(",",'Contactos Agua Celica'!H341,1)-1))</f>
        <v/>
      </c>
      <c r="E344" s="19" t="str">
        <f>IF(ISBLANK('Contactos Agua Celica'!H341),"",MID('Contactos Agua Celica'!H341,FIND(",",'Contactos Agua Celica'!H341,1)+1,LEN('Contactos Agua Celica'!H341)))</f>
        <v/>
      </c>
      <c r="F344" s="11" t="s">
        <v>1262</v>
      </c>
      <c r="G344" s="19" t="str">
        <f>IF(ISBLANK('Contactos Agua Celica'!F341)," ","false")</f>
        <v>false</v>
      </c>
      <c r="H344" s="19" t="str">
        <f>IF(ISBLANK('Contactos Agua Celica'!F341)," ","0")</f>
        <v>0</v>
      </c>
      <c r="I344" s="19" t="str">
        <f>IF(ISBLANK('Contactos Agua Celica'!F341)," ","0")</f>
        <v>0</v>
      </c>
    </row>
    <row r="345" spans="1:9" x14ac:dyDescent="0.3">
      <c r="A345" s="19" t="s">
        <v>1172</v>
      </c>
      <c r="B345" s="20" t="str">
        <f>IF(ISBLANK('Contactos Agua Celica'!F342),"",'Contactos Agua Celica'!F342)</f>
        <v>Paul Campoverde</v>
      </c>
      <c r="C345" s="18" t="str">
        <f>IF(ISBLANK('Contactos Agua Celica'!G342),"",'Contactos Agua Celica'!G342)</f>
        <v>098 004 2679</v>
      </c>
      <c r="D345" s="19" t="str">
        <f>IF(ISBLANK('Contactos Agua Celica'!H342),"",MID('Contactos Agua Celica'!H342,1,FIND(",",'Contactos Agua Celica'!H342,1)-1))</f>
        <v/>
      </c>
      <c r="E345" s="19" t="str">
        <f>IF(ISBLANK('Contactos Agua Celica'!H342),"",MID('Contactos Agua Celica'!H342,FIND(",",'Contactos Agua Celica'!H342,1)+1,LEN('Contactos Agua Celica'!H342)))</f>
        <v/>
      </c>
      <c r="F345" s="11" t="s">
        <v>1262</v>
      </c>
      <c r="G345" s="19" t="str">
        <f>IF(ISBLANK('Contactos Agua Celica'!F342)," ","false")</f>
        <v>false</v>
      </c>
      <c r="H345" s="19" t="str">
        <f>IF(ISBLANK('Contactos Agua Celica'!F342)," ","0")</f>
        <v>0</v>
      </c>
      <c r="I345" s="19" t="str">
        <f>IF(ISBLANK('Contactos Agua Celica'!F342)," ","0")</f>
        <v>0</v>
      </c>
    </row>
    <row r="346" spans="1:9" x14ac:dyDescent="0.3">
      <c r="A346" s="19" t="s">
        <v>1173</v>
      </c>
      <c r="B346" s="20" t="str">
        <f>IF(ISBLANK('Contactos Agua Celica'!F343),"",'Contactos Agua Celica'!F343)</f>
        <v>Pedro Cueva</v>
      </c>
      <c r="C346" s="18" t="str">
        <f>IF(ISBLANK('Contactos Agua Celica'!G343),"",'Contactos Agua Celica'!G343)</f>
        <v>+593 98 806 9510</v>
      </c>
      <c r="D346" s="19" t="str">
        <f>IF(ISBLANK('Contactos Agua Celica'!H343),"",MID('Contactos Agua Celica'!H343,1,FIND(",",'Contactos Agua Celica'!H343,1)-1))</f>
        <v/>
      </c>
      <c r="E346" s="19" t="str">
        <f>IF(ISBLANK('Contactos Agua Celica'!H343),"",MID('Contactos Agua Celica'!H343,FIND(",",'Contactos Agua Celica'!H343,1)+1,LEN('Contactos Agua Celica'!H343)))</f>
        <v/>
      </c>
      <c r="F346" s="11" t="s">
        <v>1262</v>
      </c>
      <c r="G346" s="19" t="str">
        <f>IF(ISBLANK('Contactos Agua Celica'!F343)," ","false")</f>
        <v>false</v>
      </c>
      <c r="H346" s="19" t="str">
        <f>IF(ISBLANK('Contactos Agua Celica'!F343)," ","0")</f>
        <v>0</v>
      </c>
      <c r="I346" s="19" t="str">
        <f>IF(ISBLANK('Contactos Agua Celica'!F343)," ","0")</f>
        <v>0</v>
      </c>
    </row>
    <row r="347" spans="1:9" x14ac:dyDescent="0.3">
      <c r="A347" s="19" t="s">
        <v>1174</v>
      </c>
      <c r="B347" s="20" t="str">
        <f>IF(ISBLANK('Contactos Agua Celica'!F344),"",'Contactos Agua Celica'!F344)</f>
        <v>Pedro Vera Chofer M</v>
      </c>
      <c r="C347" s="18" t="str">
        <f>IF(ISBLANK('Contactos Agua Celica'!G344),"",'Contactos Agua Celica'!G344)</f>
        <v>+593 98 887 9113</v>
      </c>
      <c r="D347" s="19" t="str">
        <f>IF(ISBLANK('Contactos Agua Celica'!H344),"",MID('Contactos Agua Celica'!H344,1,FIND(",",'Contactos Agua Celica'!H344,1)-1))</f>
        <v/>
      </c>
      <c r="E347" s="19" t="str">
        <f>IF(ISBLANK('Contactos Agua Celica'!H344),"",MID('Contactos Agua Celica'!H344,FIND(",",'Contactos Agua Celica'!H344,1)+1,LEN('Contactos Agua Celica'!H344)))</f>
        <v/>
      </c>
      <c r="F347" s="11" t="s">
        <v>1262</v>
      </c>
      <c r="G347" s="19" t="str">
        <f>IF(ISBLANK('Contactos Agua Celica'!F344)," ","false")</f>
        <v>false</v>
      </c>
      <c r="H347" s="19" t="str">
        <f>IF(ISBLANK('Contactos Agua Celica'!F344)," ","0")</f>
        <v>0</v>
      </c>
      <c r="I347" s="19" t="str">
        <f>IF(ISBLANK('Contactos Agua Celica'!F344)," ","0")</f>
        <v>0</v>
      </c>
    </row>
    <row r="348" spans="1:9" x14ac:dyDescent="0.3">
      <c r="A348" s="19" t="s">
        <v>1175</v>
      </c>
      <c r="B348" s="20" t="str">
        <f>IF(ISBLANK('Contactos Agua Celica'!F345),"",'Contactos Agua Celica'!F345)</f>
        <v>Piedad Eras</v>
      </c>
      <c r="C348" s="18" t="str">
        <f>IF(ISBLANK('Contactos Agua Celica'!G345),"",'Contactos Agua Celica'!G345)</f>
        <v>+593 96 799 0940</v>
      </c>
      <c r="D348" s="19" t="str">
        <f>IF(ISBLANK('Contactos Agua Celica'!H345),"",MID('Contactos Agua Celica'!H345,1,FIND(",",'Contactos Agua Celica'!H345,1)-1))</f>
        <v/>
      </c>
      <c r="E348" s="19" t="str">
        <f>IF(ISBLANK('Contactos Agua Celica'!H345),"",MID('Contactos Agua Celica'!H345,FIND(",",'Contactos Agua Celica'!H345,1)+1,LEN('Contactos Agua Celica'!H345)))</f>
        <v/>
      </c>
      <c r="F348" s="11" t="s">
        <v>1262</v>
      </c>
      <c r="G348" s="19" t="str">
        <f>IF(ISBLANK('Contactos Agua Celica'!F345)," ","false")</f>
        <v>false</v>
      </c>
      <c r="H348" s="19" t="str">
        <f>IF(ISBLANK('Contactos Agua Celica'!F345)," ","0")</f>
        <v>0</v>
      </c>
      <c r="I348" s="19" t="str">
        <f>IF(ISBLANK('Contactos Agua Celica'!F345)," ","0")</f>
        <v>0</v>
      </c>
    </row>
    <row r="349" spans="1:9" x14ac:dyDescent="0.3">
      <c r="A349" s="19" t="s">
        <v>1176</v>
      </c>
      <c r="B349" s="20" t="str">
        <f>IF(ISBLANK('Contactos Agua Celica'!F346),"",'Contactos Agua Celica'!F346)</f>
        <v>Piedad Martínez</v>
      </c>
      <c r="C349" s="18" t="str">
        <f>IF(ISBLANK('Contactos Agua Celica'!G346),"",'Contactos Agua Celica'!G346)</f>
        <v>+593 99 796 2335</v>
      </c>
      <c r="D349" s="19" t="str">
        <f>IF(ISBLANK('Contactos Agua Celica'!H346),"",MID('Contactos Agua Celica'!H346,1,FIND(",",'Contactos Agua Celica'!H346,1)-1))</f>
        <v>-4.1030798539735365</v>
      </c>
      <c r="E349" s="19" t="str">
        <f>IF(ISBLANK('Contactos Agua Celica'!H346),"",MID('Contactos Agua Celica'!H346,FIND(",",'Contactos Agua Celica'!H346,1)+1,LEN('Contactos Agua Celica'!H346)))</f>
        <v xml:space="preserve"> -79.95702162779264</v>
      </c>
      <c r="F349" s="11" t="s">
        <v>1262</v>
      </c>
      <c r="G349" s="19" t="str">
        <f>IF(ISBLANK('Contactos Agua Celica'!F346)," ","false")</f>
        <v>false</v>
      </c>
      <c r="H349" s="19" t="str">
        <f>IF(ISBLANK('Contactos Agua Celica'!F346)," ","0")</f>
        <v>0</v>
      </c>
      <c r="I349" s="19" t="str">
        <f>IF(ISBLANK('Contactos Agua Celica'!F346)," ","0")</f>
        <v>0</v>
      </c>
    </row>
    <row r="350" spans="1:9" x14ac:dyDescent="0.3">
      <c r="A350" s="19" t="s">
        <v>1177</v>
      </c>
      <c r="B350" s="20" t="str">
        <f>IF(ISBLANK('Contactos Agua Celica'!F347),"",'Contactos Agua Celica'!F347)</f>
        <v>Pindal</v>
      </c>
      <c r="C350" s="18" t="str">
        <f>IF(ISBLANK('Contactos Agua Celica'!G347),"",'Contactos Agua Celica'!G347)</f>
        <v>+593962299700</v>
      </c>
      <c r="D350" s="19" t="str">
        <f>IF(ISBLANK('Contactos Agua Celica'!H347),"",MID('Contactos Agua Celica'!H347,1,FIND(",",'Contactos Agua Celica'!H347,1)-1))</f>
        <v/>
      </c>
      <c r="E350" s="19" t="str">
        <f>IF(ISBLANK('Contactos Agua Celica'!H347),"",MID('Contactos Agua Celica'!H347,FIND(",",'Contactos Agua Celica'!H347,1)+1,LEN('Contactos Agua Celica'!H347)))</f>
        <v/>
      </c>
      <c r="F350" s="11" t="s">
        <v>1262</v>
      </c>
      <c r="G350" s="19" t="str">
        <f>IF(ISBLANK('Contactos Agua Celica'!F347)," ","false")</f>
        <v>false</v>
      </c>
      <c r="H350" s="19" t="str">
        <f>IF(ISBLANK('Contactos Agua Celica'!F347)," ","0")</f>
        <v>0</v>
      </c>
      <c r="I350" s="19" t="str">
        <f>IF(ISBLANK('Contactos Agua Celica'!F347)," ","0")</f>
        <v>0</v>
      </c>
    </row>
    <row r="351" spans="1:9" x14ac:dyDescent="0.3">
      <c r="A351" s="19" t="s">
        <v>1178</v>
      </c>
      <c r="B351" s="20" t="str">
        <f>IF(ISBLANK('Contactos Agua Celica'!F348),"",'Contactos Agua Celica'!F348)</f>
        <v>Pirulo</v>
      </c>
      <c r="C351" s="18" t="str">
        <f>IF(ISBLANK('Contactos Agua Celica'!G348),"",'Contactos Agua Celica'!G348)</f>
        <v>099 240 6674</v>
      </c>
      <c r="D351" s="19" t="str">
        <f>IF(ISBLANK('Contactos Agua Celica'!H348),"",MID('Contactos Agua Celica'!H348,1,FIND(",",'Contactos Agua Celica'!H348,1)-1))</f>
        <v>-4.107796548757942</v>
      </c>
      <c r="E351" s="19" t="str">
        <f>IF(ISBLANK('Contactos Agua Celica'!H348),"",MID('Contactos Agua Celica'!H348,FIND(",",'Contactos Agua Celica'!H348,1)+1,LEN('Contactos Agua Celica'!H348)))</f>
        <v xml:space="preserve"> -79.95433222188795</v>
      </c>
      <c r="F351" s="11" t="s">
        <v>1262</v>
      </c>
      <c r="G351" s="19" t="str">
        <f>IF(ISBLANK('Contactos Agua Celica'!F348)," ","false")</f>
        <v>false</v>
      </c>
      <c r="H351" s="19" t="str">
        <f>IF(ISBLANK('Contactos Agua Celica'!F348)," ","0")</f>
        <v>0</v>
      </c>
      <c r="I351" s="19" t="str">
        <f>IF(ISBLANK('Contactos Agua Celica'!F348)," ","0")</f>
        <v>0</v>
      </c>
    </row>
    <row r="352" spans="1:9" x14ac:dyDescent="0.3">
      <c r="A352" s="19" t="s">
        <v>1179</v>
      </c>
      <c r="B352" s="20" t="str">
        <f>IF(ISBLANK('Contactos Agua Celica'!F349),"",'Contactos Agua Celica'!F349)</f>
        <v>Piter</v>
      </c>
      <c r="C352" s="18" t="str">
        <f>IF(ISBLANK('Contactos Agua Celica'!G349),"",'Contactos Agua Celica'!G349)</f>
        <v>0985035960</v>
      </c>
      <c r="D352" s="19" t="str">
        <f>IF(ISBLANK('Contactos Agua Celica'!H349),"",MID('Contactos Agua Celica'!H349,1,FIND(",",'Contactos Agua Celica'!H349,1)-1))</f>
        <v/>
      </c>
      <c r="E352" s="19" t="str">
        <f>IF(ISBLANK('Contactos Agua Celica'!H349),"",MID('Contactos Agua Celica'!H349,FIND(",",'Contactos Agua Celica'!H349,1)+1,LEN('Contactos Agua Celica'!H349)))</f>
        <v/>
      </c>
      <c r="F352" s="11" t="s">
        <v>1262</v>
      </c>
      <c r="G352" s="19" t="str">
        <f>IF(ISBLANK('Contactos Agua Celica'!F349)," ","false")</f>
        <v>false</v>
      </c>
      <c r="H352" s="19" t="str">
        <f>IF(ISBLANK('Contactos Agua Celica'!F349)," ","0")</f>
        <v>0</v>
      </c>
      <c r="I352" s="19" t="str">
        <f>IF(ISBLANK('Contactos Agua Celica'!F349)," ","0")</f>
        <v>0</v>
      </c>
    </row>
    <row r="353" spans="1:9" x14ac:dyDescent="0.3">
      <c r="A353" s="19" t="s">
        <v>1180</v>
      </c>
      <c r="B353" s="20" t="str">
        <f>IF(ISBLANK('Contactos Agua Celica'!F350),"",'Contactos Agua Celica'!F350)</f>
        <v>Polo Ramírez</v>
      </c>
      <c r="C353" s="18" t="str">
        <f>IF(ISBLANK('Contactos Agua Celica'!G350),"",'Contactos Agua Celica'!G350)</f>
        <v>098 648 6474</v>
      </c>
      <c r="D353" s="19" t="str">
        <f>IF(ISBLANK('Contactos Agua Celica'!H350),"",MID('Contactos Agua Celica'!H350,1,FIND(",",'Contactos Agua Celica'!H350,1)-1))</f>
        <v/>
      </c>
      <c r="E353" s="19" t="str">
        <f>IF(ISBLANK('Contactos Agua Celica'!H350),"",MID('Contactos Agua Celica'!H350,FIND(",",'Contactos Agua Celica'!H350,1)+1,LEN('Contactos Agua Celica'!H350)))</f>
        <v/>
      </c>
      <c r="F353" s="11" t="s">
        <v>1262</v>
      </c>
      <c r="G353" s="19" t="str">
        <f>IF(ISBLANK('Contactos Agua Celica'!F350)," ","false")</f>
        <v>false</v>
      </c>
      <c r="H353" s="19" t="str">
        <f>IF(ISBLANK('Contactos Agua Celica'!F350)," ","0")</f>
        <v>0</v>
      </c>
      <c r="I353" s="19" t="str">
        <f>IF(ISBLANK('Contactos Agua Celica'!F350)," ","0")</f>
        <v>0</v>
      </c>
    </row>
    <row r="354" spans="1:9" x14ac:dyDescent="0.3">
      <c r="A354" s="19" t="s">
        <v>1181</v>
      </c>
      <c r="B354" s="20" t="str">
        <f>IF(ISBLANK('Contactos Agua Celica'!F351),"",'Contactos Agua Celica'!F351)</f>
        <v>Prodental</v>
      </c>
      <c r="C354" s="18" t="str">
        <f>IF(ISBLANK('Contactos Agua Celica'!G351),"",'Contactos Agua Celica'!G351)</f>
        <v>+593 99 875 3361</v>
      </c>
      <c r="D354" s="19" t="str">
        <f>IF(ISBLANK('Contactos Agua Celica'!H351),"",MID('Contactos Agua Celica'!H351,1,FIND(",",'Contactos Agua Celica'!H351,1)-1))</f>
        <v>-4.102933787802677</v>
      </c>
      <c r="E354" s="19" t="str">
        <f>IF(ISBLANK('Contactos Agua Celica'!H351),"",MID('Contactos Agua Celica'!H351,FIND(",",'Contactos Agua Celica'!H351,1)+1,LEN('Contactos Agua Celica'!H351)))</f>
        <v xml:space="preserve"> -79.95621958687671</v>
      </c>
      <c r="F354" s="11" t="s">
        <v>1262</v>
      </c>
      <c r="G354" s="19" t="str">
        <f>IF(ISBLANK('Contactos Agua Celica'!F351)," ","false")</f>
        <v>false</v>
      </c>
      <c r="H354" s="19" t="str">
        <f>IF(ISBLANK('Contactos Agua Celica'!F351)," ","0")</f>
        <v>0</v>
      </c>
      <c r="I354" s="19" t="str">
        <f>IF(ISBLANK('Contactos Agua Celica'!F351)," ","0")</f>
        <v>0</v>
      </c>
    </row>
    <row r="355" spans="1:9" x14ac:dyDescent="0.3">
      <c r="A355" s="19" t="s">
        <v>1182</v>
      </c>
      <c r="B355" s="20" t="str">
        <f>IF(ISBLANK('Contactos Agua Celica'!F352),"",'Contactos Agua Celica'!F352)</f>
        <v>Prodental</v>
      </c>
      <c r="C355" s="18" t="str">
        <f>IF(ISBLANK('Contactos Agua Celica'!G352),"",'Contactos Agua Celica'!G352)</f>
        <v>+593 96 744 4351</v>
      </c>
      <c r="D355" s="19" t="str">
        <f>IF(ISBLANK('Contactos Agua Celica'!H352),"",MID('Contactos Agua Celica'!H352,1,FIND(",",'Contactos Agua Celica'!H352,1)-1))</f>
        <v>-4.102933787802677</v>
      </c>
      <c r="E355" s="19" t="str">
        <f>IF(ISBLANK('Contactos Agua Celica'!H352),"",MID('Contactos Agua Celica'!H352,FIND(",",'Contactos Agua Celica'!H352,1)+1,LEN('Contactos Agua Celica'!H352)))</f>
        <v xml:space="preserve"> -79.95621958687671</v>
      </c>
      <c r="F355" s="11" t="s">
        <v>1262</v>
      </c>
      <c r="G355" s="19" t="str">
        <f>IF(ISBLANK('Contactos Agua Celica'!F352)," ","false")</f>
        <v>false</v>
      </c>
      <c r="H355" s="19" t="str">
        <f>IF(ISBLANK('Contactos Agua Celica'!F352)," ","0")</f>
        <v>0</v>
      </c>
      <c r="I355" s="19" t="str">
        <f>IF(ISBLANK('Contactos Agua Celica'!F352)," ","0")</f>
        <v>0</v>
      </c>
    </row>
    <row r="356" spans="1:9" x14ac:dyDescent="0.3">
      <c r="A356" s="19" t="s">
        <v>1183</v>
      </c>
      <c r="B356" s="20" t="str">
        <f>IF(ISBLANK('Contactos Agua Celica'!F353),"",'Contactos Agua Celica'!F353)</f>
        <v>PROSELITISMO</v>
      </c>
      <c r="C356" s="18" t="str">
        <f>IF(ISBLANK('Contactos Agua Celica'!G353),"",'Contactos Agua Celica'!G353)</f>
        <v>0980300005</v>
      </c>
      <c r="D356" s="19" t="str">
        <f>IF(ISBLANK('Contactos Agua Celica'!H353),"",MID('Contactos Agua Celica'!H353,1,FIND(",",'Contactos Agua Celica'!H353,1)-1))</f>
        <v/>
      </c>
      <c r="E356" s="19" t="str">
        <f>IF(ISBLANK('Contactos Agua Celica'!H353),"",MID('Contactos Agua Celica'!H353,FIND(",",'Contactos Agua Celica'!H353,1)+1,LEN('Contactos Agua Celica'!H353)))</f>
        <v/>
      </c>
      <c r="F356" s="11" t="s">
        <v>1262</v>
      </c>
      <c r="G356" s="19" t="str">
        <f>IF(ISBLANK('Contactos Agua Celica'!F353)," ","false")</f>
        <v>false</v>
      </c>
      <c r="H356" s="19" t="str">
        <f>IF(ISBLANK('Contactos Agua Celica'!F353)," ","0")</f>
        <v>0</v>
      </c>
      <c r="I356" s="19" t="str">
        <f>IF(ISBLANK('Contactos Agua Celica'!F353)," ","0")</f>
        <v>0</v>
      </c>
    </row>
    <row r="357" spans="1:9" x14ac:dyDescent="0.3">
      <c r="A357" s="19" t="s">
        <v>1184</v>
      </c>
      <c r="B357" s="20" t="str">
        <f>IF(ISBLANK('Contactos Agua Celica'!F354),"",'Contactos Agua Celica'!F354)</f>
        <v>Ramiro Jumbo</v>
      </c>
      <c r="C357" s="18" t="str">
        <f>IF(ISBLANK('Contactos Agua Celica'!G354),"",'Contactos Agua Celica'!G354)</f>
        <v>0999413933 ::: 093 966 5260</v>
      </c>
      <c r="D357" s="19" t="str">
        <f>IF(ISBLANK('Contactos Agua Celica'!H354),"",MID('Contactos Agua Celica'!H354,1,FIND(",",'Contactos Agua Celica'!H354,1)-1))</f>
        <v/>
      </c>
      <c r="E357" s="19" t="str">
        <f>IF(ISBLANK('Contactos Agua Celica'!H354),"",MID('Contactos Agua Celica'!H354,FIND(",",'Contactos Agua Celica'!H354,1)+1,LEN('Contactos Agua Celica'!H354)))</f>
        <v/>
      </c>
      <c r="F357" s="11" t="s">
        <v>1262</v>
      </c>
      <c r="G357" s="19" t="str">
        <f>IF(ISBLANK('Contactos Agua Celica'!F354)," ","false")</f>
        <v>false</v>
      </c>
      <c r="H357" s="19" t="str">
        <f>IF(ISBLANK('Contactos Agua Celica'!F354)," ","0")</f>
        <v>0</v>
      </c>
      <c r="I357" s="19" t="str">
        <f>IF(ISBLANK('Contactos Agua Celica'!F354)," ","0")</f>
        <v>0</v>
      </c>
    </row>
    <row r="358" spans="1:9" x14ac:dyDescent="0.3">
      <c r="A358" s="19" t="s">
        <v>1185</v>
      </c>
      <c r="B358" s="20" t="str">
        <f>IF(ISBLANK('Contactos Agua Celica'!F355),"",'Contactos Agua Celica'!F355)</f>
        <v>Raquel Espinoza</v>
      </c>
      <c r="C358" s="18" t="str">
        <f>IF(ISBLANK('Contactos Agua Celica'!G355),"",'Contactos Agua Celica'!G355)</f>
        <v>+593 99 657 6995</v>
      </c>
      <c r="D358" s="19" t="str">
        <f>IF(ISBLANK('Contactos Agua Celica'!H355),"",MID('Contactos Agua Celica'!H355,1,FIND(",",'Contactos Agua Celica'!H355,1)-1))</f>
        <v/>
      </c>
      <c r="E358" s="19" t="str">
        <f>IF(ISBLANK('Contactos Agua Celica'!H355),"",MID('Contactos Agua Celica'!H355,FIND(",",'Contactos Agua Celica'!H355,1)+1,LEN('Contactos Agua Celica'!H355)))</f>
        <v/>
      </c>
      <c r="F358" s="11" t="s">
        <v>1262</v>
      </c>
      <c r="G358" s="19" t="str">
        <f>IF(ISBLANK('Contactos Agua Celica'!F355)," ","false")</f>
        <v>false</v>
      </c>
      <c r="H358" s="19" t="str">
        <f>IF(ISBLANK('Contactos Agua Celica'!F355)," ","0")</f>
        <v>0</v>
      </c>
      <c r="I358" s="19" t="str">
        <f>IF(ISBLANK('Contactos Agua Celica'!F355)," ","0")</f>
        <v>0</v>
      </c>
    </row>
    <row r="359" spans="1:9" x14ac:dyDescent="0.3">
      <c r="A359" s="19" t="s">
        <v>1186</v>
      </c>
      <c r="B359" s="20" t="str">
        <f>IF(ISBLANK('Contactos Agua Celica'!F356),"",'Contactos Agua Celica'!F356)</f>
        <v>Rawi Montilla Vending</v>
      </c>
      <c r="C359" s="18" t="str">
        <f>IF(ISBLANK('Contactos Agua Celica'!G356),"",'Contactos Agua Celica'!G356)</f>
        <v>096 400 9806</v>
      </c>
      <c r="D359" s="19" t="str">
        <f>IF(ISBLANK('Contactos Agua Celica'!H356),"",MID('Contactos Agua Celica'!H356,1,FIND(",",'Contactos Agua Celica'!H356,1)-1))</f>
        <v/>
      </c>
      <c r="E359" s="19" t="str">
        <f>IF(ISBLANK('Contactos Agua Celica'!H356),"",MID('Contactos Agua Celica'!H356,FIND(",",'Contactos Agua Celica'!H356,1)+1,LEN('Contactos Agua Celica'!H356)))</f>
        <v/>
      </c>
      <c r="F359" s="11" t="s">
        <v>1262</v>
      </c>
      <c r="G359" s="19" t="str">
        <f>IF(ISBLANK('Contactos Agua Celica'!F356)," ","false")</f>
        <v>false</v>
      </c>
      <c r="H359" s="19" t="str">
        <f>IF(ISBLANK('Contactos Agua Celica'!F356)," ","0")</f>
        <v>0</v>
      </c>
      <c r="I359" s="19" t="str">
        <f>IF(ISBLANK('Contactos Agua Celica'!F356)," ","0")</f>
        <v>0</v>
      </c>
    </row>
    <row r="360" spans="1:9" x14ac:dyDescent="0.3">
      <c r="A360" s="19" t="s">
        <v>1187</v>
      </c>
      <c r="B360" s="20" t="str">
        <f>IF(ISBLANK('Contactos Agua Celica'!F357),"",'Contactos Agua Celica'!F357)</f>
        <v>Reinerio Quezada</v>
      </c>
      <c r="C360" s="18" t="str">
        <f>IF(ISBLANK('Contactos Agua Celica'!G357),"",'Contactos Agua Celica'!G357)</f>
        <v>099 388 9519</v>
      </c>
      <c r="D360" s="19" t="str">
        <f>IF(ISBLANK('Contactos Agua Celica'!H357),"",MID('Contactos Agua Celica'!H357,1,FIND(",",'Contactos Agua Celica'!H357,1)-1))</f>
        <v/>
      </c>
      <c r="E360" s="19" t="str">
        <f>IF(ISBLANK('Contactos Agua Celica'!H357),"",MID('Contactos Agua Celica'!H357,FIND(",",'Contactos Agua Celica'!H357,1)+1,LEN('Contactos Agua Celica'!H357)))</f>
        <v/>
      </c>
      <c r="F360" s="11" t="s">
        <v>1262</v>
      </c>
      <c r="G360" s="19" t="str">
        <f>IF(ISBLANK('Contactos Agua Celica'!F357)," ","false")</f>
        <v>false</v>
      </c>
      <c r="H360" s="19" t="str">
        <f>IF(ISBLANK('Contactos Agua Celica'!F357)," ","0")</f>
        <v>0</v>
      </c>
      <c r="I360" s="19" t="str">
        <f>IF(ISBLANK('Contactos Agua Celica'!F357)," ","0")</f>
        <v>0</v>
      </c>
    </row>
    <row r="361" spans="1:9" x14ac:dyDescent="0.3">
      <c r="A361" s="19" t="s">
        <v>1188</v>
      </c>
      <c r="B361" s="20" t="str">
        <f>IF(ISBLANK('Contactos Agua Celica'!F358),"",'Contactos Agua Celica'!F358)</f>
        <v>Restaurant Celes</v>
      </c>
      <c r="C361" s="18" t="str">
        <f>IF(ISBLANK('Contactos Agua Celica'!G358),"",'Contactos Agua Celica'!G358)</f>
        <v>0962300089</v>
      </c>
      <c r="D361" s="19" t="str">
        <f>IF(ISBLANK('Contactos Agua Celica'!H358),"",MID('Contactos Agua Celica'!H358,1,FIND(",",'Contactos Agua Celica'!H358,1)-1))</f>
        <v/>
      </c>
      <c r="E361" s="19" t="str">
        <f>IF(ISBLANK('Contactos Agua Celica'!H358),"",MID('Contactos Agua Celica'!H358,FIND(",",'Contactos Agua Celica'!H358,1)+1,LEN('Contactos Agua Celica'!H358)))</f>
        <v/>
      </c>
      <c r="F361" s="11" t="s">
        <v>1262</v>
      </c>
      <c r="G361" s="19" t="str">
        <f>IF(ISBLANK('Contactos Agua Celica'!F358)," ","false")</f>
        <v>false</v>
      </c>
      <c r="H361" s="19" t="str">
        <f>IF(ISBLANK('Contactos Agua Celica'!F358)," ","0")</f>
        <v>0</v>
      </c>
      <c r="I361" s="19" t="str">
        <f>IF(ISBLANK('Contactos Agua Celica'!F358)," ","0")</f>
        <v>0</v>
      </c>
    </row>
    <row r="362" spans="1:9" x14ac:dyDescent="0.3">
      <c r="A362" s="19" t="s">
        <v>1189</v>
      </c>
      <c r="B362" s="20" t="str">
        <f>IF(ISBLANK('Contactos Agua Celica'!F359),"",'Contactos Agua Celica'!F359)</f>
        <v>Ricardo Arias</v>
      </c>
      <c r="C362" s="18" t="str">
        <f>IF(ISBLANK('Contactos Agua Celica'!G359),"",'Contactos Agua Celica'!G359)</f>
        <v>+593 99 798 5692</v>
      </c>
      <c r="D362" s="19" t="str">
        <f>IF(ISBLANK('Contactos Agua Celica'!H359),"",MID('Contactos Agua Celica'!H359,1,FIND(",",'Contactos Agua Celica'!H359,1)-1))</f>
        <v/>
      </c>
      <c r="E362" s="19" t="str">
        <f>IF(ISBLANK('Contactos Agua Celica'!H359),"",MID('Contactos Agua Celica'!H359,FIND(",",'Contactos Agua Celica'!H359,1)+1,LEN('Contactos Agua Celica'!H359)))</f>
        <v/>
      </c>
      <c r="F362" s="11" t="s">
        <v>1262</v>
      </c>
      <c r="G362" s="19" t="str">
        <f>IF(ISBLANK('Contactos Agua Celica'!F359)," ","false")</f>
        <v>false</v>
      </c>
      <c r="H362" s="19" t="str">
        <f>IF(ISBLANK('Contactos Agua Celica'!F359)," ","0")</f>
        <v>0</v>
      </c>
      <c r="I362" s="19" t="str">
        <f>IF(ISBLANK('Contactos Agua Celica'!F359)," ","0")</f>
        <v>0</v>
      </c>
    </row>
    <row r="363" spans="1:9" x14ac:dyDescent="0.3">
      <c r="A363" s="19" t="s">
        <v>1190</v>
      </c>
      <c r="B363" s="20" t="str">
        <f>IF(ISBLANK('Contactos Agua Celica'!F360),"",'Contactos Agua Celica'!F360)</f>
        <v>Rinconcito Celicano</v>
      </c>
      <c r="C363" s="18" t="str">
        <f>IF(ISBLANK('Contactos Agua Celica'!G360),"",'Contactos Agua Celica'!G360)</f>
        <v>0999657900</v>
      </c>
      <c r="D363" s="19" t="str">
        <f>IF(ISBLANK('Contactos Agua Celica'!H360),"",MID('Contactos Agua Celica'!H360,1,FIND(",",'Contactos Agua Celica'!H360,1)-1))</f>
        <v>-4.107105610383114</v>
      </c>
      <c r="E363" s="19" t="str">
        <f>IF(ISBLANK('Contactos Agua Celica'!H360),"",MID('Contactos Agua Celica'!H360,FIND(",",'Contactos Agua Celica'!H360,1)+1,LEN('Contactos Agua Celica'!H360)))</f>
        <v xml:space="preserve"> -79.95333934094138</v>
      </c>
      <c r="F363" s="11" t="s">
        <v>1262</v>
      </c>
      <c r="G363" s="19" t="str">
        <f>IF(ISBLANK('Contactos Agua Celica'!F360)," ","false")</f>
        <v>false</v>
      </c>
      <c r="H363" s="19" t="str">
        <f>IF(ISBLANK('Contactos Agua Celica'!F360)," ","0")</f>
        <v>0</v>
      </c>
      <c r="I363" s="19" t="str">
        <f>IF(ISBLANK('Contactos Agua Celica'!F360)," ","0")</f>
        <v>0</v>
      </c>
    </row>
    <row r="364" spans="1:9" x14ac:dyDescent="0.3">
      <c r="A364" s="19" t="s">
        <v>1191</v>
      </c>
      <c r="B364" s="20" t="str">
        <f>IF(ISBLANK('Contactos Agua Celica'!F361),"",'Contactos Agua Celica'!F361)</f>
        <v>Riofrío Tecnico</v>
      </c>
      <c r="C364" s="18" t="str">
        <f>IF(ISBLANK('Contactos Agua Celica'!G361),"",'Contactos Agua Celica'!G361)</f>
        <v>099 425 3929</v>
      </c>
      <c r="D364" s="19" t="str">
        <f>IF(ISBLANK('Contactos Agua Celica'!H361),"",MID('Contactos Agua Celica'!H361,1,FIND(",",'Contactos Agua Celica'!H361,1)-1))</f>
        <v/>
      </c>
      <c r="E364" s="19" t="str">
        <f>IF(ISBLANK('Contactos Agua Celica'!H361),"",MID('Contactos Agua Celica'!H361,FIND(",",'Contactos Agua Celica'!H361,1)+1,LEN('Contactos Agua Celica'!H361)))</f>
        <v/>
      </c>
      <c r="F364" s="11" t="s">
        <v>1262</v>
      </c>
      <c r="G364" s="19" t="str">
        <f>IF(ISBLANK('Contactos Agua Celica'!F361)," ","false")</f>
        <v>false</v>
      </c>
      <c r="H364" s="19" t="str">
        <f>IF(ISBLANK('Contactos Agua Celica'!F361)," ","0")</f>
        <v>0</v>
      </c>
      <c r="I364" s="19" t="str">
        <f>IF(ISBLANK('Contactos Agua Celica'!F361)," ","0")</f>
        <v>0</v>
      </c>
    </row>
    <row r="365" spans="1:9" x14ac:dyDescent="0.3">
      <c r="A365" s="19" t="s">
        <v>1192</v>
      </c>
      <c r="B365" s="20" t="str">
        <f>IF(ISBLANK('Contactos Agua Celica'!F362),"",'Contactos Agua Celica'!F362)</f>
        <v>Rita Barba</v>
      </c>
      <c r="C365" s="18" t="str">
        <f>IF(ISBLANK('Contactos Agua Celica'!G362),"",'Contactos Agua Celica'!G362)</f>
        <v>095 926 7582</v>
      </c>
      <c r="D365" s="19" t="str">
        <f>IF(ISBLANK('Contactos Agua Celica'!H362),"",MID('Contactos Agua Celica'!H362,1,FIND(",",'Contactos Agua Celica'!H362,1)-1))</f>
        <v>-4.10228833546052</v>
      </c>
      <c r="E365" s="19" t="str">
        <f>IF(ISBLANK('Contactos Agua Celica'!H362),"",MID('Contactos Agua Celica'!H362,FIND(",",'Contactos Agua Celica'!H362,1)+1,LEN('Contactos Agua Celica'!H362)))</f>
        <v xml:space="preserve"> -79.95733029629832</v>
      </c>
      <c r="F365" s="11" t="s">
        <v>1262</v>
      </c>
      <c r="G365" s="19" t="str">
        <f>IF(ISBLANK('Contactos Agua Celica'!F362)," ","false")</f>
        <v>false</v>
      </c>
      <c r="H365" s="19" t="str">
        <f>IF(ISBLANK('Contactos Agua Celica'!F362)," ","0")</f>
        <v>0</v>
      </c>
      <c r="I365" s="19" t="str">
        <f>IF(ISBLANK('Contactos Agua Celica'!F362)," ","0")</f>
        <v>0</v>
      </c>
    </row>
    <row r="366" spans="1:9" x14ac:dyDescent="0.3">
      <c r="A366" s="19" t="s">
        <v>1193</v>
      </c>
      <c r="B366" s="20" t="str">
        <f>IF(ISBLANK('Contactos Agua Celica'!F363),"",'Contactos Agua Celica'!F363)</f>
        <v>Roberto Mora</v>
      </c>
      <c r="C366" s="18" t="str">
        <f>IF(ISBLANK('Contactos Agua Celica'!G363),"",'Contactos Agua Celica'!G363)</f>
        <v>+593 99 210 4015</v>
      </c>
      <c r="D366" s="19" t="str">
        <f>IF(ISBLANK('Contactos Agua Celica'!H363),"",MID('Contactos Agua Celica'!H363,1,FIND(",",'Contactos Agua Celica'!H363,1)-1))</f>
        <v/>
      </c>
      <c r="E366" s="19" t="str">
        <f>IF(ISBLANK('Contactos Agua Celica'!H363),"",MID('Contactos Agua Celica'!H363,FIND(",",'Contactos Agua Celica'!H363,1)+1,LEN('Contactos Agua Celica'!H363)))</f>
        <v/>
      </c>
      <c r="F366" s="11" t="s">
        <v>1262</v>
      </c>
      <c r="G366" s="19" t="str">
        <f>IF(ISBLANK('Contactos Agua Celica'!F363)," ","false")</f>
        <v>false</v>
      </c>
      <c r="H366" s="19" t="str">
        <f>IF(ISBLANK('Contactos Agua Celica'!F363)," ","0")</f>
        <v>0</v>
      </c>
      <c r="I366" s="19" t="str">
        <f>IF(ISBLANK('Contactos Agua Celica'!F363)," ","0")</f>
        <v>0</v>
      </c>
    </row>
    <row r="367" spans="1:9" x14ac:dyDescent="0.3">
      <c r="A367" s="19" t="s">
        <v>1194</v>
      </c>
      <c r="B367" s="20" t="str">
        <f>IF(ISBLANK('Contactos Agua Celica'!F364),"",'Contactos Agua Celica'!F364)</f>
        <v>Rocío Tienda Reina Del Rosario Mendoza</v>
      </c>
      <c r="C367" s="18" t="str">
        <f>IF(ISBLANK('Contactos Agua Celica'!G364),"",'Contactos Agua Celica'!G364)</f>
        <v>+593 99 452 2126</v>
      </c>
      <c r="D367" s="19" t="str">
        <f>IF(ISBLANK('Contactos Agua Celica'!H364),"",MID('Contactos Agua Celica'!H364,1,FIND(",",'Contactos Agua Celica'!H364,1)-1))</f>
        <v/>
      </c>
      <c r="E367" s="19" t="str">
        <f>IF(ISBLANK('Contactos Agua Celica'!H364),"",MID('Contactos Agua Celica'!H364,FIND(",",'Contactos Agua Celica'!H364,1)+1,LEN('Contactos Agua Celica'!H364)))</f>
        <v/>
      </c>
      <c r="F367" s="11" t="s">
        <v>1262</v>
      </c>
      <c r="G367" s="19" t="str">
        <f>IF(ISBLANK('Contactos Agua Celica'!F364)," ","false")</f>
        <v>false</v>
      </c>
      <c r="H367" s="19" t="str">
        <f>IF(ISBLANK('Contactos Agua Celica'!F364)," ","0")</f>
        <v>0</v>
      </c>
      <c r="I367" s="19" t="str">
        <f>IF(ISBLANK('Contactos Agua Celica'!F364)," ","0")</f>
        <v>0</v>
      </c>
    </row>
    <row r="368" spans="1:9" x14ac:dyDescent="0.3">
      <c r="A368" s="19" t="s">
        <v>1195</v>
      </c>
      <c r="B368" s="20" t="str">
        <f>IF(ISBLANK('Contactos Agua Celica'!F365),"",'Contactos Agua Celica'!F365)</f>
        <v>Rojo Cliente</v>
      </c>
      <c r="C368" s="18" t="str">
        <f>IF(ISBLANK('Contactos Agua Celica'!G365),"",'Contactos Agua Celica'!G365)</f>
        <v>+593 95 907 1665</v>
      </c>
      <c r="D368" s="19" t="str">
        <f>IF(ISBLANK('Contactos Agua Celica'!H365),"",MID('Contactos Agua Celica'!H365,1,FIND(",",'Contactos Agua Celica'!H365,1)-1))</f>
        <v/>
      </c>
      <c r="E368" s="19" t="str">
        <f>IF(ISBLANK('Contactos Agua Celica'!H365),"",MID('Contactos Agua Celica'!H365,FIND(",",'Contactos Agua Celica'!H365,1)+1,LEN('Contactos Agua Celica'!H365)))</f>
        <v/>
      </c>
      <c r="F368" s="11" t="s">
        <v>1262</v>
      </c>
      <c r="G368" s="19" t="str">
        <f>IF(ISBLANK('Contactos Agua Celica'!F365)," ","false")</f>
        <v>false</v>
      </c>
      <c r="H368" s="19" t="str">
        <f>IF(ISBLANK('Contactos Agua Celica'!F365)," ","0")</f>
        <v>0</v>
      </c>
      <c r="I368" s="19" t="str">
        <f>IF(ISBLANK('Contactos Agua Celica'!F365)," ","0")</f>
        <v>0</v>
      </c>
    </row>
    <row r="369" spans="1:9" x14ac:dyDescent="0.3">
      <c r="A369" s="19" t="s">
        <v>1196</v>
      </c>
      <c r="B369" s="20" t="str">
        <f>IF(ISBLANK('Contactos Agua Celica'!F366),"",'Contactos Agua Celica'!F366)</f>
        <v>Ronny Arboleda</v>
      </c>
      <c r="C369" s="18" t="str">
        <f>IF(ISBLANK('Contactos Agua Celica'!G366),"",'Contactos Agua Celica'!G366)</f>
        <v>097 930 4359</v>
      </c>
      <c r="D369" s="19" t="str">
        <f>IF(ISBLANK('Contactos Agua Celica'!H366),"",MID('Contactos Agua Celica'!H366,1,FIND(",",'Contactos Agua Celica'!H366,1)-1))</f>
        <v/>
      </c>
      <c r="E369" s="19" t="str">
        <f>IF(ISBLANK('Contactos Agua Celica'!H366),"",MID('Contactos Agua Celica'!H366,FIND(",",'Contactos Agua Celica'!H366,1)+1,LEN('Contactos Agua Celica'!H366)))</f>
        <v/>
      </c>
      <c r="F369" s="11" t="s">
        <v>1262</v>
      </c>
      <c r="G369" s="19" t="str">
        <f>IF(ISBLANK('Contactos Agua Celica'!F366)," ","false")</f>
        <v>false</v>
      </c>
      <c r="H369" s="19" t="str">
        <f>IF(ISBLANK('Contactos Agua Celica'!F366)," ","0")</f>
        <v>0</v>
      </c>
      <c r="I369" s="19" t="str">
        <f>IF(ISBLANK('Contactos Agua Celica'!F366)," ","0")</f>
        <v>0</v>
      </c>
    </row>
    <row r="370" spans="1:9" x14ac:dyDescent="0.3">
      <c r="A370" s="19" t="s">
        <v>1197</v>
      </c>
      <c r="B370" s="20" t="str">
        <f>IF(ISBLANK('Contactos Agua Celica'!F367),"",'Contactos Agua Celica'!F367)</f>
        <v>Rosa Barahona</v>
      </c>
      <c r="C370" s="18" t="str">
        <f>IF(ISBLANK('Contactos Agua Celica'!G367),"",'Contactos Agua Celica'!G367)</f>
        <v>096 805 5003</v>
      </c>
      <c r="D370" s="19" t="str">
        <f>IF(ISBLANK('Contactos Agua Celica'!H367),"",MID('Contactos Agua Celica'!H367,1,FIND(",",'Contactos Agua Celica'!H367,1)-1))</f>
        <v/>
      </c>
      <c r="E370" s="19" t="str">
        <f>IF(ISBLANK('Contactos Agua Celica'!H367),"",MID('Contactos Agua Celica'!H367,FIND(",",'Contactos Agua Celica'!H367,1)+1,LEN('Contactos Agua Celica'!H367)))</f>
        <v/>
      </c>
      <c r="F370" s="11" t="s">
        <v>1267</v>
      </c>
      <c r="G370" s="19" t="str">
        <f>IF(ISBLANK('Contactos Agua Celica'!F367)," ","false")</f>
        <v>false</v>
      </c>
      <c r="H370" s="19" t="str">
        <f>IF(ISBLANK('Contactos Agua Celica'!F367)," ","0")</f>
        <v>0</v>
      </c>
      <c r="I370" s="19" t="str">
        <f>IF(ISBLANK('Contactos Agua Celica'!F367)," ","0")</f>
        <v>0</v>
      </c>
    </row>
    <row r="371" spans="1:9" x14ac:dyDescent="0.3">
      <c r="A371" s="19" t="s">
        <v>1198</v>
      </c>
      <c r="B371" s="20" t="e">
        <f>IF(ISBLANK('Contactos Agua Celica'!#REF!),"",'Contactos Agua Celica'!#REF!)</f>
        <v>#REF!</v>
      </c>
      <c r="C371" s="18" t="e">
        <f>IF(ISBLANK('Contactos Agua Celica'!#REF!),"",'Contactos Agua Celica'!#REF!)</f>
        <v>#REF!</v>
      </c>
      <c r="D371" s="19" t="e">
        <f>IF(ISBLANK('Contactos Agua Celica'!#REF!),"",MID('Contactos Agua Celica'!#REF!,1,FIND(",",'Contactos Agua Celica'!#REF!,1)-1))</f>
        <v>#REF!</v>
      </c>
      <c r="E371" s="19" t="e">
        <f>IF(ISBLANK('Contactos Agua Celica'!#REF!),"",MID('Contactos Agua Celica'!#REF!,FIND(",",'Contactos Agua Celica'!#REF!,1)+1,LEN('Contactos Agua Celica'!#REF!)))</f>
        <v>#REF!</v>
      </c>
      <c r="F371" s="11" t="s">
        <v>1263</v>
      </c>
      <c r="G371" s="19" t="str">
        <f>IF(ISBLANK('Contactos Agua Celica'!#REF!)," ","false")</f>
        <v>false</v>
      </c>
      <c r="H371" s="19" t="str">
        <f>IF(ISBLANK('Contactos Agua Celica'!#REF!)," ","0")</f>
        <v>0</v>
      </c>
      <c r="I371" s="19" t="str">
        <f>IF(ISBLANK('Contactos Agua Celica'!#REF!)," ","0")</f>
        <v>0</v>
      </c>
    </row>
    <row r="372" spans="1:9" x14ac:dyDescent="0.3">
      <c r="A372" s="19" t="s">
        <v>1199</v>
      </c>
      <c r="B372" s="20" t="str">
        <f>IF(ISBLANK('Contactos Agua Celica'!F368),"",'Contactos Agua Celica'!F368)</f>
        <v>Rosa Campoverde</v>
      </c>
      <c r="C372" s="18" t="str">
        <f>IF(ISBLANK('Contactos Agua Celica'!G368),"",'Contactos Agua Celica'!G368)</f>
        <v>+593 99 416 5394</v>
      </c>
      <c r="D372" s="19" t="str">
        <f>IF(ISBLANK('Contactos Agua Celica'!H368),"",MID('Contactos Agua Celica'!H368,1,FIND(",",'Contactos Agua Celica'!H368,1)-1))</f>
        <v/>
      </c>
      <c r="E372" s="19" t="str">
        <f>IF(ISBLANK('Contactos Agua Celica'!H368),"",MID('Contactos Agua Celica'!H368,FIND(",",'Contactos Agua Celica'!H368,1)+1,LEN('Contactos Agua Celica'!H368)))</f>
        <v/>
      </c>
      <c r="F372" s="11" t="s">
        <v>1267</v>
      </c>
      <c r="G372" s="19" t="str">
        <f>IF(ISBLANK('Contactos Agua Celica'!F368)," ","false")</f>
        <v>false</v>
      </c>
      <c r="H372" s="19" t="str">
        <f>IF(ISBLANK('Contactos Agua Celica'!F368)," ","0")</f>
        <v>0</v>
      </c>
      <c r="I372" s="19" t="str">
        <f>IF(ISBLANK('Contactos Agua Celica'!F368)," ","0")</f>
        <v>0</v>
      </c>
    </row>
    <row r="373" spans="1:9" x14ac:dyDescent="0.3">
      <c r="A373" s="19" t="s">
        <v>1200</v>
      </c>
      <c r="B373" s="20" t="str">
        <f>IF(ISBLANK('Contactos Agua Celica'!F369),"",'Contactos Agua Celica'!F369)</f>
        <v>Rosa Elizalde</v>
      </c>
      <c r="C373" s="18" t="str">
        <f>IF(ISBLANK('Contactos Agua Celica'!G369),"",'Contactos Agua Celica'!G369)</f>
        <v>+593 99 394 5819</v>
      </c>
      <c r="D373" s="19" t="str">
        <f>IF(ISBLANK('Contactos Agua Celica'!H369),"",MID('Contactos Agua Celica'!H369,1,FIND(",",'Contactos Agua Celica'!H369,1)-1))</f>
        <v/>
      </c>
      <c r="E373" s="19" t="str">
        <f>IF(ISBLANK('Contactos Agua Celica'!H369),"",MID('Contactos Agua Celica'!H369,FIND(",",'Contactos Agua Celica'!H369,1)+1,LEN('Contactos Agua Celica'!H369)))</f>
        <v/>
      </c>
      <c r="F373" s="11" t="s">
        <v>1267</v>
      </c>
      <c r="G373" s="19" t="str">
        <f>IF(ISBLANK('Contactos Agua Celica'!F369)," ","false")</f>
        <v>false</v>
      </c>
      <c r="H373" s="19" t="str">
        <f>IF(ISBLANK('Contactos Agua Celica'!F369)," ","0")</f>
        <v>0</v>
      </c>
      <c r="I373" s="19" t="str">
        <f>IF(ISBLANK('Contactos Agua Celica'!F369)," ","0")</f>
        <v>0</v>
      </c>
    </row>
    <row r="374" spans="1:9" x14ac:dyDescent="0.3">
      <c r="A374" s="19" t="s">
        <v>1201</v>
      </c>
      <c r="B374" s="20" t="str">
        <f>IF(ISBLANK('Contactos Agua Celica'!F370),"",'Contactos Agua Celica'!F370)</f>
        <v>Rosa Ordoñez</v>
      </c>
      <c r="C374" s="18" t="str">
        <f>IF(ISBLANK('Contactos Agua Celica'!G370),"",'Contactos Agua Celica'!G370)</f>
        <v>+593 99 741 2464</v>
      </c>
      <c r="D374" s="19" t="str">
        <f>IF(ISBLANK('Contactos Agua Celica'!H370),"",MID('Contactos Agua Celica'!H370,1,FIND(",",'Contactos Agua Celica'!H370,1)-1))</f>
        <v/>
      </c>
      <c r="E374" s="19" t="str">
        <f>IF(ISBLANK('Contactos Agua Celica'!H370),"",MID('Contactos Agua Celica'!H370,FIND(",",'Contactos Agua Celica'!H370,1)+1,LEN('Contactos Agua Celica'!H370)))</f>
        <v/>
      </c>
      <c r="F374" s="11" t="s">
        <v>1268</v>
      </c>
      <c r="G374" s="19" t="str">
        <f>IF(ISBLANK('Contactos Agua Celica'!F370)," ","false")</f>
        <v>false</v>
      </c>
      <c r="H374" s="19" t="str">
        <f>IF(ISBLANK('Contactos Agua Celica'!F370)," ","0")</f>
        <v>0</v>
      </c>
      <c r="I374" s="19" t="str">
        <f>IF(ISBLANK('Contactos Agua Celica'!F370)," ","0")</f>
        <v>0</v>
      </c>
    </row>
    <row r="375" spans="1:9" x14ac:dyDescent="0.3">
      <c r="A375" s="19" t="s">
        <v>1202</v>
      </c>
      <c r="B375" s="20" t="str">
        <f>IF(ISBLANK('Contactos Agua Celica'!F371),"",'Contactos Agua Celica'!F371)</f>
        <v>Rosa Ordóñez</v>
      </c>
      <c r="C375" s="18" t="str">
        <f>IF(ISBLANK('Contactos Agua Celica'!G371),"",'Contactos Agua Celica'!G371)</f>
        <v>+593 95 892 3425</v>
      </c>
      <c r="D375" s="19" t="str">
        <f>IF(ISBLANK('Contactos Agua Celica'!H371),"",MID('Contactos Agua Celica'!H371,1,FIND(",",'Contactos Agua Celica'!H371,1)-1))</f>
        <v/>
      </c>
      <c r="E375" s="19" t="str">
        <f>IF(ISBLANK('Contactos Agua Celica'!H371),"",MID('Contactos Agua Celica'!H371,FIND(",",'Contactos Agua Celica'!H371,1)+1,LEN('Contactos Agua Celica'!H371)))</f>
        <v/>
      </c>
      <c r="F375" s="11" t="s">
        <v>1267</v>
      </c>
      <c r="G375" s="19" t="str">
        <f>IF(ISBLANK('Contactos Agua Celica'!F371)," ","false")</f>
        <v>false</v>
      </c>
      <c r="H375" s="19" t="str">
        <f>IF(ISBLANK('Contactos Agua Celica'!F371)," ","0")</f>
        <v>0</v>
      </c>
      <c r="I375" s="19" t="str">
        <f>IF(ISBLANK('Contactos Agua Celica'!F371)," ","0")</f>
        <v>0</v>
      </c>
    </row>
    <row r="376" spans="1:9" x14ac:dyDescent="0.3">
      <c r="A376" s="19" t="s">
        <v>1203</v>
      </c>
      <c r="B376" s="20" t="str">
        <f>IF(ISBLANK('Contactos Agua Celica'!F372),"",'Contactos Agua Celica'!F372)</f>
        <v>Rosario Chamba</v>
      </c>
      <c r="C376" s="18" t="str">
        <f>IF(ISBLANK('Contactos Agua Celica'!G372),"",'Contactos Agua Celica'!G372)</f>
        <v>0980032511</v>
      </c>
      <c r="D376" s="19" t="str">
        <f>IF(ISBLANK('Contactos Agua Celica'!H372),"",MID('Contactos Agua Celica'!H372,1,FIND(",",'Contactos Agua Celica'!H372,1)-1))</f>
        <v/>
      </c>
      <c r="E376" s="19" t="str">
        <f>IF(ISBLANK('Contactos Agua Celica'!H372),"",MID('Contactos Agua Celica'!H372,FIND(",",'Contactos Agua Celica'!H372,1)+1,LEN('Contactos Agua Celica'!H372)))</f>
        <v/>
      </c>
      <c r="F376" s="11" t="s">
        <v>1253</v>
      </c>
      <c r="G376" s="19" t="str">
        <f>IF(ISBLANK('Contactos Agua Celica'!F372)," ","false")</f>
        <v>false</v>
      </c>
      <c r="H376" s="19" t="str">
        <f>IF(ISBLANK('Contactos Agua Celica'!F372)," ","0")</f>
        <v>0</v>
      </c>
      <c r="I376" s="19" t="str">
        <f>IF(ISBLANK('Contactos Agua Celica'!F372)," ","0")</f>
        <v>0</v>
      </c>
    </row>
    <row r="377" spans="1:9" x14ac:dyDescent="0.3">
      <c r="A377" s="19" t="s">
        <v>1204</v>
      </c>
      <c r="B377" s="20" t="str">
        <f>IF(ISBLANK('Contactos Agua Celica'!F373),"",'Contactos Agua Celica'!F373)</f>
        <v>Rosario Robles</v>
      </c>
      <c r="C377" s="18" t="str">
        <f>IF(ISBLANK('Contactos Agua Celica'!G373),"",'Contactos Agua Celica'!G373)</f>
        <v>+593 93 908 7860</v>
      </c>
      <c r="D377" s="19" t="str">
        <f>IF(ISBLANK('Contactos Agua Celica'!H373),"",MID('Contactos Agua Celica'!H373,1,FIND(",",'Contactos Agua Celica'!H373,1)-1))</f>
        <v>-4.10340396263913</v>
      </c>
      <c r="E377" s="19" t="str">
        <f>IF(ISBLANK('Contactos Agua Celica'!H373),"",MID('Contactos Agua Celica'!H373,FIND(",",'Contactos Agua Celica'!H373,1)+1,LEN('Contactos Agua Celica'!H373)))</f>
        <v xml:space="preserve"> -79.95404086805779</v>
      </c>
      <c r="F377" s="11" t="s">
        <v>1256</v>
      </c>
      <c r="G377" s="19" t="str">
        <f>IF(ISBLANK('Contactos Agua Celica'!F373)," ","false")</f>
        <v>false</v>
      </c>
      <c r="H377" s="19" t="str">
        <f>IF(ISBLANK('Contactos Agua Celica'!F373)," ","0")</f>
        <v>0</v>
      </c>
      <c r="I377" s="19" t="str">
        <f>IF(ISBLANK('Contactos Agua Celica'!F373)," ","0")</f>
        <v>0</v>
      </c>
    </row>
    <row r="378" spans="1:9" x14ac:dyDescent="0.3">
      <c r="A378" s="19" t="s">
        <v>1205</v>
      </c>
      <c r="B378" s="20" t="str">
        <f>IF(ISBLANK('Contactos Agua Celica'!F374),"",'Contactos Agua Celica'!F374)</f>
        <v>Rosita León🦁</v>
      </c>
      <c r="C378" s="18" t="str">
        <f>IF(ISBLANK('Contactos Agua Celica'!G374),"",'Contactos Agua Celica'!G374)</f>
        <v>+593 96 703 3046</v>
      </c>
      <c r="D378" s="19" t="str">
        <f>IF(ISBLANK('Contactos Agua Celica'!H374),"",MID('Contactos Agua Celica'!H374,1,FIND(",",'Contactos Agua Celica'!H374,1)-1))</f>
        <v/>
      </c>
      <c r="E378" s="19" t="str">
        <f>IF(ISBLANK('Contactos Agua Celica'!H374),"",MID('Contactos Agua Celica'!H374,FIND(",",'Contactos Agua Celica'!H374,1)+1,LEN('Contactos Agua Celica'!H374)))</f>
        <v/>
      </c>
      <c r="F378" s="11" t="s">
        <v>1267</v>
      </c>
      <c r="G378" s="19" t="str">
        <f>IF(ISBLANK('Contactos Agua Celica'!F374)," ","false")</f>
        <v>false</v>
      </c>
      <c r="H378" s="19" t="str">
        <f>IF(ISBLANK('Contactos Agua Celica'!F374)," ","0")</f>
        <v>0</v>
      </c>
      <c r="I378" s="19" t="str">
        <f>IF(ISBLANK('Contactos Agua Celica'!F374)," ","0")</f>
        <v>0</v>
      </c>
    </row>
    <row r="379" spans="1:9" x14ac:dyDescent="0.3">
      <c r="A379" s="19" t="s">
        <v>1206</v>
      </c>
      <c r="B379" s="20" t="str">
        <f>IF(ISBLANK('Contactos Agua Celica'!F375),"",'Contactos Agua Celica'!F375)</f>
        <v>Ruth Piedra Algarrobillo</v>
      </c>
      <c r="C379" s="18" t="str">
        <f>IF(ISBLANK('Contactos Agua Celica'!G375),"",'Contactos Agua Celica'!G375)</f>
        <v>099 173 2370</v>
      </c>
      <c r="D379" s="19" t="str">
        <f>IF(ISBLANK('Contactos Agua Celica'!H375),"",MID('Contactos Agua Celica'!H375,1,FIND(",",'Contactos Agua Celica'!H375,1)-1))</f>
        <v/>
      </c>
      <c r="E379" s="19" t="str">
        <f>IF(ISBLANK('Contactos Agua Celica'!H375),"",MID('Contactos Agua Celica'!H375,FIND(",",'Contactos Agua Celica'!H375,1)+1,LEN('Contactos Agua Celica'!H375)))</f>
        <v/>
      </c>
      <c r="F379" s="20" t="str">
        <f>IF(ISBLANK('Contactos Agua Celica'!F375)," ","Sin direccion")</f>
        <v>Sin direccion</v>
      </c>
      <c r="G379" s="19" t="str">
        <f>IF(ISBLANK('Contactos Agua Celica'!F375)," ","false")</f>
        <v>false</v>
      </c>
      <c r="H379" s="19" t="str">
        <f>IF(ISBLANK('Contactos Agua Celica'!F375)," ","0")</f>
        <v>0</v>
      </c>
      <c r="I379" s="19" t="str">
        <f>IF(ISBLANK('Contactos Agua Celica'!F375)," ","0")</f>
        <v>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20"/>
  <sheetViews>
    <sheetView workbookViewId="0">
      <selection activeCell="B16" sqref="B16"/>
    </sheetView>
    <sheetView workbookViewId="1"/>
  </sheetViews>
  <sheetFormatPr baseColWidth="10" defaultRowHeight="14.4" x14ac:dyDescent="0.3"/>
  <cols>
    <col min="1" max="1" width="16.88671875" customWidth="1"/>
  </cols>
  <sheetData>
    <row r="1" spans="1:1" x14ac:dyDescent="0.3">
      <c r="A1" t="s">
        <v>1265</v>
      </c>
    </row>
    <row r="2" spans="1:1" x14ac:dyDescent="0.3">
      <c r="A2" t="s">
        <v>1253</v>
      </c>
    </row>
    <row r="3" spans="1:1" x14ac:dyDescent="0.3">
      <c r="A3" t="s">
        <v>1254</v>
      </c>
    </row>
    <row r="4" spans="1:1" x14ac:dyDescent="0.3">
      <c r="A4" t="s">
        <v>340</v>
      </c>
    </row>
    <row r="5" spans="1:1" x14ac:dyDescent="0.3">
      <c r="A5" t="s">
        <v>1500</v>
      </c>
    </row>
    <row r="6" spans="1:1" x14ac:dyDescent="0.3">
      <c r="A6" t="s">
        <v>1260</v>
      </c>
    </row>
    <row r="7" spans="1:1" x14ac:dyDescent="0.3">
      <c r="A7" t="s">
        <v>1255</v>
      </c>
    </row>
    <row r="8" spans="1:1" x14ac:dyDescent="0.3">
      <c r="A8" t="s">
        <v>1256</v>
      </c>
    </row>
    <row r="9" spans="1:1" x14ac:dyDescent="0.3">
      <c r="A9" t="s">
        <v>1263</v>
      </c>
    </row>
    <row r="10" spans="1:1" x14ac:dyDescent="0.3">
      <c r="A10" t="s">
        <v>1257</v>
      </c>
    </row>
    <row r="11" spans="1:1" x14ac:dyDescent="0.3">
      <c r="A11" t="s">
        <v>1259</v>
      </c>
    </row>
    <row r="12" spans="1:1" x14ac:dyDescent="0.3">
      <c r="A12" t="s">
        <v>1258</v>
      </c>
    </row>
    <row r="13" spans="1:1" x14ac:dyDescent="0.3">
      <c r="A13" t="s">
        <v>1264</v>
      </c>
    </row>
    <row r="14" spans="1:1" x14ac:dyDescent="0.3">
      <c r="A14" t="s">
        <v>1410</v>
      </c>
    </row>
    <row r="15" spans="1:1" x14ac:dyDescent="0.3">
      <c r="A15" t="s">
        <v>1262</v>
      </c>
    </row>
    <row r="16" spans="1:1" x14ac:dyDescent="0.3">
      <c r="A16" t="s">
        <v>1261</v>
      </c>
    </row>
    <row r="17" spans="1:1" x14ac:dyDescent="0.3">
      <c r="A17" t="s">
        <v>1430</v>
      </c>
    </row>
    <row r="18" spans="1:1" x14ac:dyDescent="0.3">
      <c r="A18" t="s">
        <v>1505</v>
      </c>
    </row>
    <row r="19" spans="1:1" x14ac:dyDescent="0.3">
      <c r="A19" t="s">
        <v>1506</v>
      </c>
    </row>
    <row r="20" spans="1:1" x14ac:dyDescent="0.3">
      <c r="A20" t="s">
        <v>1507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2E8616-50BD-4E66-AB4B-5BE941EB52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contacts (2)</vt:lpstr>
      <vt:lpstr>Contactos Agua Celica</vt:lpstr>
      <vt:lpstr>Hoja de importacion</vt:lpstr>
      <vt:lpstr>Barrios</vt:lpstr>
      <vt:lpstr>'Contactos Agua Celica'!contacts_1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 Ramón</dc:creator>
  <cp:lastModifiedBy>Xavier Ramón</cp:lastModifiedBy>
  <dcterms:created xsi:type="dcterms:W3CDTF">2022-02-03T20:00:54Z</dcterms:created>
  <dcterms:modified xsi:type="dcterms:W3CDTF">2023-03-19T13:10:54Z</dcterms:modified>
</cp:coreProperties>
</file>